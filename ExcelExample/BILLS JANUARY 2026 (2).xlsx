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I:\Shared drives\Hubomoto Corp - Accounting\REVENUE &amp; OPEX REPORT 2025\"/>
    </mc:Choice>
  </mc:AlternateContent>
  <xr:revisionPtr revIDLastSave="0" documentId="13_ncr:1_{26BF59D5-4118-461A-B962-DFD4585E778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LS" sheetId="1" r:id="rId1"/>
    <sheet name="Sheet2" sheetId="3" r:id="rId2"/>
    <sheet name="Sheet1" sheetId="2" r:id="rId3"/>
  </sheets>
  <definedNames>
    <definedName name="_xlnm._FilterDatabase" localSheetId="0" hidden="1">BILLS!$A$2:$ALR$158</definedName>
    <definedName name="_xlnm._FilterDatabase" localSheetId="2" hidden="1">Sheet1!$A$1:$G$41</definedName>
    <definedName name="_xlnm.Print_Area" localSheetId="0">BILLS!$A$2:$AA$153</definedName>
    <definedName name="_xlnm.Print_Area" localSheetId="2">Sheet1!$A$1:$H$42</definedName>
    <definedName name="Slicer_Property_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D1Ifb90gsZSTXeXshddEvIufbyxUg51DRrGFEU2J5A="/>
    </ext>
  </extLst>
</workbook>
</file>

<file path=xl/calcChain.xml><?xml version="1.0" encoding="utf-8"?>
<calcChain xmlns="http://schemas.openxmlformats.org/spreadsheetml/2006/main">
  <c r="R156" i="1" l="1"/>
  <c r="J147" i="1"/>
  <c r="J146" i="1"/>
  <c r="J145" i="1"/>
  <c r="J144" i="1"/>
  <c r="J143" i="1"/>
  <c r="J135" i="1" l="1"/>
  <c r="J52" i="1" l="1"/>
  <c r="R153" i="1"/>
  <c r="R1" i="1" s="1"/>
  <c r="S1" i="1" s="1"/>
  <c r="U153" i="1"/>
  <c r="J34" i="1" l="1"/>
  <c r="J29" i="1"/>
  <c r="J51" i="1"/>
  <c r="J19" i="1" l="1"/>
  <c r="J57" i="1"/>
  <c r="J4" i="1"/>
  <c r="N153" i="1" l="1"/>
  <c r="J79" i="1"/>
  <c r="N155" i="1" l="1"/>
  <c r="N1" i="1"/>
  <c r="O1" i="1" s="1"/>
  <c r="J9" i="1"/>
  <c r="J134" i="1"/>
  <c r="J82" i="1"/>
  <c r="J81" i="1" l="1"/>
  <c r="J91" i="1"/>
  <c r="J44" i="1"/>
  <c r="J71" i="1" l="1"/>
  <c r="J32" i="1" l="1"/>
  <c r="J140" i="1" l="1"/>
  <c r="J76" i="1"/>
  <c r="J35" i="1" l="1"/>
  <c r="J36" i="1" l="1"/>
  <c r="J7" i="1" l="1"/>
  <c r="J12" i="1"/>
  <c r="J31" i="1"/>
  <c r="J13" i="1" l="1"/>
  <c r="J33" i="1" l="1"/>
  <c r="J14" i="1"/>
  <c r="J6" i="1" l="1"/>
  <c r="J5" i="1"/>
  <c r="J3" i="1" l="1"/>
  <c r="J99" i="1" l="1"/>
  <c r="J100" i="1" l="1"/>
  <c r="J151" i="1" l="1"/>
  <c r="J139" i="1"/>
  <c r="J138" i="1"/>
  <c r="J137" i="1"/>
  <c r="J55" i="1"/>
  <c r="J30" i="1" l="1"/>
  <c r="J28" i="1"/>
  <c r="AB139" i="1" l="1"/>
  <c r="J90" i="1" l="1"/>
  <c r="J46" i="1"/>
  <c r="J65" i="1" l="1"/>
  <c r="J40" i="1"/>
  <c r="J83" i="1" l="1"/>
  <c r="J87" i="1"/>
  <c r="J72" i="1" l="1"/>
  <c r="J73" i="1"/>
  <c r="J47" i="1"/>
  <c r="J18" i="1" l="1"/>
  <c r="J16" i="1"/>
  <c r="J75" i="1" l="1"/>
  <c r="J66" i="1"/>
  <c r="J54" i="1"/>
  <c r="J56" i="1"/>
  <c r="J93" i="1"/>
  <c r="J74" i="1" l="1"/>
  <c r="J89" i="1"/>
  <c r="J58" i="1"/>
  <c r="J49" i="1"/>
  <c r="J48" i="1"/>
  <c r="J37" i="1"/>
  <c r="J26" i="1"/>
  <c r="J23" i="1"/>
  <c r="J20" i="1"/>
  <c r="Z153" i="1" l="1"/>
  <c r="X153" i="1"/>
  <c r="G153" i="1"/>
  <c r="G937" i="1" s="1"/>
  <c r="F153" i="1"/>
  <c r="J128" i="1"/>
  <c r="J113" i="1"/>
  <c r="J98" i="1"/>
  <c r="J97" i="1"/>
  <c r="J96" i="1"/>
  <c r="J95" i="1"/>
  <c r="J94" i="1"/>
  <c r="J88" i="1"/>
  <c r="J86" i="1"/>
  <c r="J84" i="1"/>
  <c r="J64" i="1"/>
  <c r="J63" i="1"/>
  <c r="J45" i="1"/>
  <c r="J43" i="1"/>
  <c r="J25" i="1"/>
  <c r="J24" i="1"/>
  <c r="J22" i="1"/>
  <c r="J21" i="1"/>
  <c r="J153" i="1" l="1"/>
  <c r="X157" i="1"/>
  <c r="U157" i="1"/>
  <c r="U1" i="1" s="1"/>
  <c r="V1" i="1" s="1"/>
  <c r="J154" i="1" l="1"/>
  <c r="J1" i="1"/>
  <c r="K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HuboMoto</author>
  </authors>
  <commentList>
    <comment ref="I3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======
ID#AAABpCWYGVM
HuboMoto    (2025-08-08 05:12:08)
maam kao</t>
        </r>
      </text>
    </comment>
    <comment ref="J3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======
ID#AAABpTLq31Y
HuboMoto    (2025-08-14 13:13:35)
offset overpayment 208
fixed plan 1299</t>
        </r>
      </text>
    </comment>
    <comment ref="A4" authorId="1" shapeId="0" xr:uid="{11E8051F-F26D-45C9-88E7-3DCCA97BCFD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start paid assoc again this oct.</t>
        </r>
      </text>
    </comment>
    <comment ref="U5" authorId="1" shapeId="0" xr:uid="{740BBD86-526E-473A-9DAC-89656CB9CD5A}">
      <text>
        <r>
          <rPr>
            <b/>
            <sz val="9"/>
            <color indexed="81"/>
            <rFont val="Tahoma"/>
            <family val="2"/>
          </rPr>
          <t>*paid by owner- january to december2026</t>
        </r>
      </text>
    </comment>
    <comment ref="U6" authorId="1" shapeId="0" xr:uid="{28290298-8973-4672-BB25-D7A359846F3C}">
      <text>
        <r>
          <rPr>
            <b/>
            <sz val="9"/>
            <color indexed="81"/>
            <rFont val="Tahoma"/>
            <family val="2"/>
          </rPr>
          <t>*paid by owner- january to december2026</t>
        </r>
      </text>
    </comment>
    <comment ref="H7" authorId="1" shapeId="0" xr:uid="{3F8AD176-6A62-487A-B08C-E1F63EF2D230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load schedule</t>
        </r>
      </text>
    </comment>
    <comment ref="U7" authorId="1" shapeId="0" xr:uid="{19D62984-1120-4DE9-9C80-8E12B5DBB3A9}">
      <text>
        <r>
          <rPr>
            <b/>
            <sz val="9"/>
            <color indexed="81"/>
            <rFont val="Tahoma"/>
            <family val="2"/>
          </rPr>
          <t>*paid by owner- january to december2026</t>
        </r>
      </text>
    </comment>
    <comment ref="I8" authorId="1" shapeId="0" xr:uid="{8D1B393E-ABCC-4B23-B968-219C1D7AACC2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start load oct. 2025
</t>
        </r>
      </text>
    </comment>
    <comment ref="U8" authorId="1" shapeId="0" xr:uid="{A3704E8A-BB3E-4DC6-AF9F-F2EAFEFFC796}">
      <text>
        <r>
          <rPr>
            <b/>
            <sz val="9"/>
            <color indexed="81"/>
            <rFont val="Tahoma"/>
            <family val="2"/>
          </rPr>
          <t>*january to december2026 paid by owner</t>
        </r>
      </text>
    </comment>
    <comment ref="H9" authorId="1" shapeId="0" xr:uid="{9F743D5E-FA0F-4341-8973-B6E139390C4D}">
      <text>
        <r>
          <rPr>
            <b/>
            <sz val="9"/>
            <color indexed="81"/>
            <rFont val="Tahoma"/>
            <family val="2"/>
          </rPr>
          <t>move from abloaski</t>
        </r>
      </text>
    </comment>
    <comment ref="J9" authorId="1" shapeId="0" xr:uid="{A331F362-DC4D-4A04-8BCC-60E96198A92F}">
      <text>
        <r>
          <rPr>
            <b/>
            <sz val="9"/>
            <color indexed="81"/>
            <rFont val="Tahoma"/>
            <family val="2"/>
          </rPr>
          <t>1299+3=1302</t>
        </r>
      </text>
    </comment>
    <comment ref="A10" authorId="1" shapeId="0" xr:uid="{351C31A0-971F-40F0-AC06-B01AC3E369F8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turnover january 15,2026</t>
        </r>
      </text>
    </comment>
    <comment ref="J10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======
ID#AAABpTLq31U
HuboMoto    (2025-08-14 13:13:35)
offset overpayment 308
fixed plan 1299</t>
        </r>
      </text>
    </comment>
    <comment ref="J1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 xml:space="preserve">monthly plan 1299
</t>
        </r>
      </text>
    </comment>
    <comment ref="A12" authorId="1" shapeId="0" xr:uid="{67C73152-5E9D-410D-9054-3B9CEE3E3805}">
      <text>
        <r>
          <rPr>
            <b/>
            <sz val="9"/>
            <color indexed="81"/>
            <rFont val="Tahoma"/>
            <family val="2"/>
          </rPr>
          <t>tunover feb 3, 2026</t>
        </r>
      </text>
    </comment>
    <comment ref="J12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 xml:space="preserve">
10/05/25-offset overpayment</t>
        </r>
      </text>
    </comment>
    <comment ref="B14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======
ID#AAABo1cZSVY
HuboMoto    (2025-08-05 22:19:01)
start assoc payment- august 2025</t>
        </r>
      </text>
    </comment>
    <comment ref="B15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======
ID#AAABo1cZSVk
HuboMoto    (2025-08-05 22:19:01)
start assoc payment- august 2025</t>
        </r>
      </text>
    </comment>
    <comment ref="J16" authorId="1" shapeId="0" xr:uid="{13EBE540-FF0D-4085-907D-66DD31B221B8}">
      <text>
        <r>
          <rPr>
            <b/>
            <sz val="9"/>
            <color indexed="81"/>
            <rFont val="Tahoma"/>
            <family val="2"/>
          </rPr>
          <t>overpaymet 1306 offset dec. 2025</t>
        </r>
      </text>
    </comment>
    <comment ref="K17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R17" authorId="1" shapeId="0" xr:uid="{A8FB7ACF-C3BE-4338-88DD-809CFADCA5C0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-1255.29 (over)
bill 5.64</t>
        </r>
      </text>
    </comment>
    <comment ref="J19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======
ID#AAABpTLq31E
HuboMoto    (2025-08-14 13:13:35)
offset overpayment 407.00</t>
        </r>
      </text>
    </comment>
    <comment ref="I21" authorId="1" shapeId="0" xr:uid="{82EE5F11-445F-4D49-9704-EF5D446E524D}">
      <text>
        <r>
          <rPr>
            <sz val="9"/>
            <color indexed="81"/>
            <rFont val="Tahoma"/>
            <family val="2"/>
          </rPr>
          <t>spare unit- pldt -09645459089</t>
        </r>
      </text>
    </comment>
    <comment ref="I26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======
ID#AAABpCWYGVQ
HuboMoto    (2025-08-08 05:12:08)
mam kao</t>
        </r>
      </text>
    </comment>
    <comment ref="J2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======
ID#AAABpTbaXl8
HuboMoto    (2025-08-14 13:13:35)
w/ fee 100</t>
        </r>
      </text>
    </comment>
    <comment ref="J29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======
ID#AAABpTLq31M
HuboMoto    (2025-08-14 13:13:35)
offset over and w/ fee 100</t>
        </r>
      </text>
    </comment>
    <comment ref="J30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======
ID#AAABpTbaXmA
HuboMoto    (2025-08-14 13:13:35)
offset overpayment + 100 fee</t>
        </r>
      </text>
    </comment>
    <comment ref="B31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======
ID#AAABo1cZSUQ
ADMIN    (2025-08-05 22:19:01)
avida office</t>
        </r>
      </text>
    </comment>
    <comment ref="J3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 xml:space="preserve">
with equipment fee 100</t>
        </r>
      </text>
    </comment>
    <comment ref="J3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10/05/25  -w/ fee and offset overpayment</t>
        </r>
      </text>
    </comment>
    <comment ref="J33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======
ID#AAABpWCgekk
ADMIN    (2025-08-15 01:01:22)
offset overpayment 408.00</t>
        </r>
      </text>
    </comment>
    <comment ref="J34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======
monthly plan 1299
*January 2026 over 301 offset feb.2026</t>
        </r>
      </text>
    </comment>
    <comment ref="Q34" authorId="1" shapeId="0" xr:uid="{51E3CADE-A3A9-4EE6-B8F4-C7290629F8B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access by owner</t>
        </r>
      </text>
    </comment>
    <comment ref="I35" authorId="1" shapeId="0" xr:uid="{A8D1A370-0455-4F5C-9216-7854817073A3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BACK UP MODEM- SMART 
0921-057-5672</t>
        </r>
      </text>
    </comment>
    <comment ref="J35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======
ID#AAABpWCgekM
HuboMoto    (2025-08-15 01:01:22)
should be 1111 only
999+112 equipment fee has over payment of 476 on september offset(Jeremy)
fixed pln 1111</t>
        </r>
      </text>
    </comment>
    <comment ref="N38" authorId="1" shapeId="0" xr:uid="{DC5DB29A-A371-44EE-B443-76458B50F145}">
      <text>
        <r>
          <rPr>
            <b/>
            <sz val="9"/>
            <color indexed="81"/>
            <rFont val="Tahoma"/>
            <family val="2"/>
          </rPr>
          <t>* for investigate*</t>
        </r>
      </text>
    </comment>
    <comment ref="B3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ID#AAABpWHphZc
HuboMoto    (2025-08-16 00:52:05)
start assoc(july)</t>
        </r>
      </text>
    </comment>
    <comment ref="N40" authorId="1" shapeId="0" xr:uid="{E9F7FAF9-09F4-44F7-B0D9-E0FF9584939D}">
      <text>
        <r>
          <rPr>
            <b/>
            <sz val="9"/>
            <color indexed="81"/>
            <rFont val="Tahoma"/>
            <family val="2"/>
          </rPr>
          <t>* have a leakage (for repair)</t>
        </r>
      </text>
    </comment>
    <comment ref="K41" authorId="0" shapeId="0" xr:uid="{A186AD15-ECC2-440C-909E-CC8C9EB917A6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B42" authorId="1" shapeId="0" xr:uid="{EC4FB0DB-A7A2-4A63-A341-760F6C214A18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start 11/29/25</t>
        </r>
      </text>
    </comment>
    <comment ref="X43" authorId="1" shapeId="0" xr:uid="{8D1FFD75-1D0B-4EF0-B543-D7E630A9F76B}">
      <text>
        <r>
          <rPr>
            <b/>
            <sz val="9"/>
            <color indexed="81"/>
            <rFont val="Tahoma"/>
            <family val="2"/>
          </rPr>
          <t>4rth  qtr</t>
        </r>
      </text>
    </comment>
    <comment ref="B44" authorId="1" shapeId="0" xr:uid="{E09EB7AB-01E9-469D-9DFD-4B44744905D8}">
      <text>
        <r>
          <rPr>
            <sz val="11"/>
            <color theme="1"/>
            <rFont val="Calibri"/>
            <family val="2"/>
            <scheme val="minor"/>
          </rPr>
          <t>nov. 2025 new unit</t>
        </r>
      </text>
    </comment>
    <comment ref="J44" authorId="1" shapeId="0" xr:uid="{6DF83F12-21FC-4A40-B902-657A6AAE368D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1599</t>
        </r>
      </text>
    </comment>
    <comment ref="Q44" authorId="1" shapeId="0" xr:uid="{582CD23B-21AD-4654-8F1C-87D1EBAFD27D}">
      <text>
        <r>
          <rPr>
            <b/>
            <sz val="9"/>
            <color indexed="81"/>
            <rFont val="Tahoma"/>
            <family val="2"/>
          </rPr>
          <t>start nov. 2025</t>
        </r>
      </text>
    </comment>
    <comment ref="B45" authorId="1" shapeId="0" xr:uid="{262AE43E-B999-485C-B3DF-0E2F59AE848B}">
      <text>
        <r>
          <rPr>
            <b/>
            <sz val="9"/>
            <color indexed="81"/>
            <rFont val="Tahoma"/>
            <family val="2"/>
          </rPr>
          <t>AUGUST NEW UNIT</t>
        </r>
      </text>
    </comment>
    <comment ref="H45" authorId="1" shapeId="0" xr:uid="{B43B1568-E80B-4C0F-B00C-C64996763844}">
      <text>
        <r>
          <rPr>
            <b/>
            <sz val="9"/>
            <color indexed="81"/>
            <rFont val="Tahoma"/>
            <family val="2"/>
          </rPr>
          <t>load schedule</t>
        </r>
      </text>
    </comment>
    <comment ref="J45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======
ID#AAABo1cZSWA
HuboMoto    (2025-08-05 22:19:01)
new unit … free 15 days from july 22, 2025. start load on august 5,2025</t>
        </r>
      </text>
    </comment>
    <comment ref="X45" authorId="1" shapeId="0" xr:uid="{B14E1C0B-1AE8-4E9B-9485-57BB051B3ACE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2004.60 paid by owner</t>
        </r>
      </text>
    </comment>
    <comment ref="A46" authorId="1" shapeId="0" xr:uid="{940B6109-106E-4980-A35F-DC2539FCDAC9}">
      <text>
        <r>
          <rPr>
            <b/>
            <sz val="9"/>
            <color indexed="81"/>
            <rFont val="Tahoma"/>
            <family val="2"/>
          </rPr>
          <t>extended until first week of january'2026</t>
        </r>
      </text>
    </comment>
    <comment ref="A50" authorId="1" shapeId="0" xr:uid="{9BAF4FD9-4974-4693-8609-893769602DC9}">
      <text>
        <r>
          <rPr>
            <b/>
            <sz val="9"/>
            <color indexed="81"/>
            <rFont val="Tahoma"/>
            <family val="2"/>
          </rPr>
          <t>end by Jan. 16,, 2026</t>
        </r>
      </text>
    </comment>
    <comment ref="I50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======
ID#AAABo1cZSTE
HuboMoto    (2025-08-05 22:19:01)
from unit 1524 - 935125139
spare unit pldt-09645469753</t>
        </r>
      </text>
    </comment>
    <comment ref="J50" authorId="1" shapeId="0" xr:uid="{16231037-8CA0-4378-8BC1-E71FFB48107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999
</t>
        </r>
      </text>
    </comment>
    <comment ref="U50" authorId="1" shapeId="0" xr:uid="{5F59B97B-AE4C-4C60-909B-056FA9D697AE}">
      <text>
        <r>
          <rPr>
            <sz val="9"/>
            <color indexed="81"/>
            <rFont val="Tahoma"/>
            <family val="2"/>
          </rPr>
          <t xml:space="preserve">
3842.5</t>
        </r>
      </text>
    </comment>
    <comment ref="B5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======
ID#AAABpWCgekQ
ADMIN    (2025-08-15 01:01:22)
not sure of the 100 fee</t>
        </r>
      </text>
    </comment>
    <comment ref="J5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======
ID#AAABpTLq31Q
HuboMoto    (2025-08-14 13:13:35)
paid w/100 fee
* dec. 18, 2025- spare unit number 09646814571 deploy unit lps 16t. ( new spare unit)
* January hm loaded prepaid number</t>
        </r>
      </text>
    </comment>
    <comment ref="Q51" authorId="1" shapeId="0" xr:uid="{0B5F0759-540F-4409-8E8A-0BB4DB17C52C}">
      <text>
        <r>
          <rPr>
            <b/>
            <sz val="9"/>
            <color indexed="81"/>
            <rFont val="Tahoma"/>
            <family val="2"/>
          </rPr>
          <t>access by owner</t>
        </r>
      </text>
    </comment>
    <comment ref="B52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======
ID#AAABo1cZSUg
ADMIN    (2025-08-05 22:19:01)
new june</t>
        </r>
      </text>
    </comment>
    <comment ref="J52" authorId="1" shapeId="0" xr:uid="{11311CD9-7E6D-4B5C-AADF-F76CA6443EEE}">
      <text>
        <r>
          <rPr>
            <b/>
            <sz val="9"/>
            <color indexed="81"/>
            <rFont val="Tahoma"/>
            <family val="2"/>
          </rPr>
          <t>Ja, 22 deploy pldt prepaid 09646610992- spare unit</t>
        </r>
      </text>
    </comment>
    <comment ref="H53" authorId="1" shapeId="0" xr:uid="{FFE9B099-63AF-4ECF-8034-AD260F3C1E49}">
      <text>
        <r>
          <rPr>
            <b/>
            <sz val="9"/>
            <color indexed="81"/>
            <rFont val="Tahoma"/>
            <family val="2"/>
          </rPr>
          <t>will load on nov. 2025</t>
        </r>
      </text>
    </comment>
    <comment ref="I53" authorId="1" shapeId="0" xr:uid="{2F536E40-C8F6-485C-B227-64C468B7B7BB}">
      <text>
        <r>
          <rPr>
            <b/>
            <sz val="9"/>
            <color indexed="81"/>
            <rFont val="Tahoma"/>
            <family val="2"/>
          </rPr>
          <t>dito number 0993-472-6395 old number… not broadbrand</t>
        </r>
      </text>
    </comment>
    <comment ref="I55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======
ID#AAABpCWYGSk
HuboMoto    (2025-08-08 05:12:08)
maam april</t>
        </r>
      </text>
    </comment>
    <comment ref="J55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w/out fee</t>
        </r>
      </text>
    </comment>
    <comment ref="I56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======
ID#AAABo1cZSTY
HuboMoto    (2025-08-05 22:19:01)
NEW PROVIDER START JULY 10, 2025</t>
        </r>
      </text>
    </comment>
    <comment ref="J56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======
ID#AAABpTLq31k
HuboMoto    (2025-08-14 13:13:35)
load july 21, 2025</t>
        </r>
      </text>
    </comment>
    <comment ref="N58" authorId="1" shapeId="0" xr:uid="{300E4BE9-9476-4B31-B14A-1B82AE39004A}">
      <text>
        <r>
          <rPr>
            <b/>
            <sz val="9"/>
            <color indexed="81"/>
            <rFont val="Tahoma"/>
            <family val="2"/>
          </rPr>
          <t xml:space="preserve">no water consumption
</t>
        </r>
      </text>
    </comment>
    <comment ref="B59" authorId="1" shapeId="0" xr:uid="{25B6F407-3446-4B9E-8471-98D97936C257}">
      <text>
        <r>
          <rPr>
            <b/>
            <sz val="9"/>
            <color indexed="81"/>
            <rFont val="Tahoma"/>
            <family val="2"/>
          </rPr>
          <t>AUGUST NEW UNIT</t>
        </r>
      </text>
    </comment>
    <comment ref="Q59" authorId="1" shapeId="0" xr:uid="{0D47EDFD-C1C7-45B1-97BD-B46876A10291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access by owner</t>
        </r>
      </text>
    </comment>
    <comment ref="B60" authorId="1" shapeId="0" xr:uid="{46C06524-7713-489A-AD26-048859D997A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SEPT.2025 NEW UNIT</t>
        </r>
      </text>
    </comment>
    <comment ref="N60" authorId="1" shapeId="0" xr:uid="{9992E29C-9FCC-4D3A-82F8-B4FE8929F3BF}">
      <text>
        <r>
          <rPr>
            <b/>
            <sz val="9"/>
            <color indexed="81"/>
            <rFont val="Tahoma"/>
            <family val="2"/>
          </rPr>
          <t>no consumption</t>
        </r>
      </text>
    </comment>
    <comment ref="B61" authorId="1" shapeId="0" xr:uid="{05C438E2-1833-43CF-8007-0699E69527D2}">
      <text>
        <r>
          <rPr>
            <b/>
            <sz val="9"/>
            <color indexed="81"/>
            <rFont val="Tahoma"/>
            <family val="2"/>
          </rPr>
          <t>SEPT.2025 NEW UNIT</t>
        </r>
      </text>
    </comment>
    <comment ref="R61" authorId="1" shapeId="0" xr:uid="{60C0D03D-A2FF-40A8-AA8D-287E437CC53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overpayment 836.80
nov.2025  bill 1356.20 paid by owner</t>
        </r>
      </text>
    </comment>
    <comment ref="B62" authorId="1" shapeId="0" xr:uid="{855B9213-1007-4BD2-BB30-DA41EABC9DA8}">
      <text>
        <r>
          <rPr>
            <b/>
            <sz val="9"/>
            <color indexed="81"/>
            <rFont val="Tahoma"/>
            <family val="2"/>
          </rPr>
          <t>OCTOBER NEW UNIT</t>
        </r>
      </text>
    </comment>
    <comment ref="A63" authorId="1" shapeId="0" xr:uid="{10B87A00-CFE7-43B4-9AC8-379B9C9F86F9}">
      <text>
        <r>
          <rPr>
            <b/>
            <sz val="9"/>
            <color indexed="81"/>
            <rFont val="Tahoma"/>
            <family val="2"/>
          </rPr>
          <t>turnover -january 31, 2026</t>
        </r>
      </text>
    </comment>
    <comment ref="I63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======
ID#AAABpWHphZg
HuboMoto    (2025-08-16 00:52:05)
new permanent turbo wifi number</t>
        </r>
      </text>
    </comment>
    <comment ref="B64" authorId="1" shapeId="0" xr:uid="{E35DB941-851C-43A2-8FD3-DA3323BFCD80}">
      <text>
        <r>
          <rPr>
            <sz val="9"/>
            <color indexed="81"/>
            <rFont val="Tahoma"/>
            <family val="2"/>
          </rPr>
          <t xml:space="preserve">Starting January we will pay the assoc and rpt
</t>
        </r>
      </text>
    </comment>
    <comment ref="U6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4,797.39 fixed assoc
owner paid 1year
======</t>
        </r>
      </text>
    </comment>
    <comment ref="X64" authorId="1" shapeId="0" xr:uid="{417395F3-239D-4677-BFB3-BEE7F80C2C70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1018.44 paid by owner</t>
        </r>
      </text>
    </comment>
    <comment ref="B65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======
ID#AAABo1cZST4
    (2025-08-05 22:19:01)
1995 New Installed prepaid wifi
JUNE 2025</t>
        </r>
      </text>
    </comment>
    <comment ref="A67" authorId="1" shapeId="0" xr:uid="{61350225-10A9-4C43-A2C7-B422E39708FD}">
      <text>
        <r>
          <rPr>
            <b/>
            <sz val="9"/>
            <color indexed="81"/>
            <rFont val="Tahoma"/>
            <family val="2"/>
          </rPr>
          <t>DEC. new unit</t>
        </r>
      </text>
    </comment>
    <comment ref="U67" authorId="1" shapeId="0" xr:uid="{B2CF9F34-198F-46C9-A3A6-EA4045684998}">
      <text>
        <r>
          <rPr>
            <b/>
            <sz val="9"/>
            <color indexed="81"/>
            <rFont val="Tahoma"/>
            <family val="2"/>
          </rPr>
          <t>monthly assoc 5229
 * offset nov. overpayment amount of 73.85</t>
        </r>
      </text>
    </comment>
    <comment ref="A68" authorId="1" shapeId="0" xr:uid="{D9BBE893-954F-4188-BBFC-CF5854F01D5F}">
      <text>
        <r>
          <rPr>
            <b/>
            <sz val="9"/>
            <color indexed="81"/>
            <rFont val="Tahoma"/>
            <family val="2"/>
          </rPr>
          <t>January 2026 new unit</t>
        </r>
      </text>
    </comment>
    <comment ref="J68" authorId="1" shapeId="0" xr:uid="{15D77204-7CF0-4CCB-B78C-FD9F78946866}">
      <text>
        <r>
          <rPr>
            <b/>
            <sz val="9"/>
            <color indexed="81"/>
            <rFont val="Tahoma"/>
            <family val="2"/>
          </rPr>
          <t xml:space="preserve">paid by owner
</t>
        </r>
      </text>
    </comment>
    <comment ref="A69" authorId="1" shapeId="0" xr:uid="{E7DE27B2-6CC4-438D-883F-A3E767A6AD4F}">
      <text>
        <r>
          <rPr>
            <b/>
            <sz val="9"/>
            <color indexed="81"/>
            <rFont val="Tahoma"/>
            <family val="2"/>
          </rPr>
          <t>February 2026 new unit</t>
        </r>
      </text>
    </comment>
    <comment ref="J70" authorId="1" shapeId="0" xr:uid="{4251976D-0D3E-4783-9EF4-C10AF53620F6}">
      <text>
        <r>
          <rPr>
            <b/>
            <sz val="9"/>
            <color indexed="81"/>
            <rFont val="Tahoma"/>
            <family val="2"/>
          </rPr>
          <t>999</t>
        </r>
      </text>
    </comment>
    <comment ref="Q70" authorId="1" shapeId="0" xr:uid="{EA6653C4-AF23-44F3-B624-DB8A13A4655B}">
      <text>
        <r>
          <rPr>
            <b/>
            <sz val="9"/>
            <color indexed="81"/>
            <rFont val="Tahoma"/>
            <family val="2"/>
          </rPr>
          <t>start nov. 2025</t>
        </r>
      </text>
    </comment>
    <comment ref="U70" authorId="1" shapeId="0" xr:uid="{28D5894E-CB1E-413B-9B59-9191D3B52BC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2,900.70 monthly assoc</t>
        </r>
      </text>
    </comment>
    <comment ref="B72" authorId="1" shapeId="0" xr:uid="{19ACD96C-E9C7-4858-B639-0C57ECE99A8A}">
      <text>
        <r>
          <rPr>
            <b/>
            <sz val="9"/>
            <color indexed="81"/>
            <rFont val="Tahoma"/>
            <family val="2"/>
          </rPr>
          <t>long term rent start feb.</t>
        </r>
      </text>
    </comment>
    <comment ref="K72" authorId="0" shapeId="0" xr:uid="{89B8FF9D-5FE0-4683-87CF-43211DB1D01E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U72" authorId="1" shapeId="0" xr:uid="{DBD1BE11-4794-4560-9AF9-FBEBD2A014D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assoc 2881.80
parking 687.50 paid by hm
</t>
        </r>
      </text>
    </comment>
    <comment ref="J76" authorId="1" shapeId="0" xr:uid="{68290407-5A7A-4107-9359-B0F241DD90E9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1299 FIXED PLAN</t>
        </r>
      </text>
    </comment>
    <comment ref="X79" authorId="1" shapeId="0" xr:uid="{B94375ED-0ADF-4128-879E-8AF45EF58536}">
      <text>
        <r>
          <rPr>
            <b/>
            <sz val="9"/>
            <color indexed="81"/>
            <rFont val="Tahoma"/>
            <family val="2"/>
          </rPr>
          <t>1st qtr</t>
        </r>
      </text>
    </comment>
    <comment ref="J80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======
ID#AAABmNCH6xo
Unknown User    (2025-05-01 05:55:27)
unlidata999</t>
        </r>
      </text>
    </comment>
    <comment ref="K80" authorId="1" shapeId="0" xr:uid="{0453F4F5-1F8E-471D-AF9A-027CAE28F98C}">
      <text>
        <r>
          <rPr>
            <b/>
            <sz val="9"/>
            <color indexed="81"/>
            <rFont val="Tahoma"/>
            <family val="2"/>
          </rPr>
          <t>load at every 24th of the month 9:11 am</t>
        </r>
      </text>
    </comment>
    <comment ref="B81" authorId="1" shapeId="0" xr:uid="{5E07F3F2-721F-4530-82B7-BB0882CD3E87}">
      <text>
        <r>
          <rPr>
            <b/>
            <sz val="9"/>
            <color indexed="81"/>
            <rFont val="Tahoma"/>
            <family val="2"/>
          </rPr>
          <t xml:space="preserve">Turnover date is on January 16,2025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1" authorId="1" shapeId="0" xr:uid="{5DE9023F-409F-4460-9533-C1A0991ACA6E}">
      <text>
        <r>
          <rPr>
            <b/>
            <sz val="9"/>
            <color indexed="81"/>
            <rFont val="Tahoma"/>
            <family val="2"/>
          </rPr>
          <t>spare unit- smart pldt
0964-546-1401  from  myara grove. Load oct. 23,2025</t>
        </r>
      </text>
    </comment>
    <comment ref="I82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======
ID#AAABpCWYGSc
HuboMoto    (2025-08-08 05:12:08)
maam april account</t>
        </r>
      </text>
    </comment>
    <comment ref="J84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======
ID#AAABo1cZSTs
HuboMoto    (2025-08-05 22:19:01)
new set up - july 30,2025
star load august 14,2025</t>
        </r>
      </text>
    </comment>
    <comment ref="A85" authorId="1" shapeId="0" xr:uid="{4FAAE18D-46A2-4A09-BEAB-8AE5384D0934}">
      <text>
        <r>
          <rPr>
            <b/>
            <sz val="9"/>
            <color indexed="81"/>
            <rFont val="Tahoma"/>
            <family val="2"/>
          </rPr>
          <t>January 2026 new unit</t>
        </r>
      </text>
    </comment>
    <comment ref="N86" authorId="1" shapeId="0" xr:uid="{23831D64-EF5F-4078-8D38-6F30587AD8E2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paid by owner</t>
        </r>
      </text>
    </comment>
    <comment ref="U86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======
ID#AAABpTWOBuI
ADMIN    (2025-08-14 00:40:43)
ADMIN: 3510
PAID BY OWNER UNTIL FURTHER NOTICE</t>
        </r>
      </text>
    </comment>
    <comment ref="X86" authorId="1" shapeId="0" xr:uid="{ADA54F0F-C1CA-4ABD-9922-F5E50CC23C98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2430
</t>
        </r>
      </text>
    </comment>
    <comment ref="A87" authorId="1" shapeId="0" xr:uid="{393FF1A9-5304-4278-A109-6D65E162BFB5}">
      <text>
        <r>
          <rPr>
            <b/>
            <sz val="9"/>
            <color indexed="81"/>
            <rFont val="Tahoma"/>
            <family val="2"/>
          </rPr>
          <t>renew OCT, 2025</t>
        </r>
      </text>
    </comment>
    <comment ref="J87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======
ID#AAABpWCgekI
ADMIN    (2025-08-15 01:01:22)
offset nee dot pay 100 overdue
100 gadget fee</t>
        </r>
      </text>
    </comment>
    <comment ref="J89" authorId="1" shapeId="0" xr:uid="{BCC780CD-1541-41FA-8BBA-1330B76C195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with equipment fee 100</t>
        </r>
      </text>
    </comment>
    <comment ref="I90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======
ID#AAABpCWYGVA
HuboMoto    (2025-08-08 05:12:08)
maam april</t>
        </r>
      </text>
    </comment>
    <comment ref="J90" authorId="1" shapeId="0" xr:uid="{FB2DD775-81D7-4809-B3C1-ED6BD646B36C}">
      <text>
        <r>
          <rPr>
            <b/>
            <sz val="9"/>
            <color indexed="81"/>
            <rFont val="Tahoma"/>
            <family val="2"/>
          </rPr>
          <t>1299 FIXED MONTHLY PLAN</t>
        </r>
      </text>
    </comment>
    <comment ref="J91" authorId="1" shapeId="0" xr:uid="{6A612E66-9C34-47A3-87F7-4567B91933E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paid by owner 1599</t>
        </r>
      </text>
    </comment>
    <comment ref="U91" authorId="1" shapeId="0" xr:uid="{DEE35CDB-C8C2-4191-BAF3-41F01FCB5AA7}">
      <text>
        <r>
          <rPr>
            <b/>
            <sz val="9"/>
            <color indexed="81"/>
            <rFont val="Tahoma"/>
            <family val="2"/>
          </rPr>
          <t xml:space="preserve">HuboMoto: </t>
        </r>
        <r>
          <rPr>
            <sz val="9"/>
            <color indexed="81"/>
            <rFont val="Tahoma"/>
            <family val="2"/>
          </rPr>
          <t xml:space="preserve">
monthly assoc 2319.20
*payment in november'2025 over 102.13 ,offset dec. 2025 payment*
</t>
        </r>
      </text>
    </comment>
    <comment ref="J92" authorId="0" shapeId="0" xr:uid="{2EDA4026-7490-421A-BF55-0936D9D3FD9C}">
      <text>
        <r>
          <rPr>
            <sz val="11"/>
            <color theme="1"/>
            <rFont val="Calibri"/>
            <family val="2"/>
            <scheme val="minor"/>
          </rPr>
          <t>======
ID#AAABmNCH6xA
Unknown User    (2025-05-01 05:55:27)
unlifam1299</t>
        </r>
      </text>
    </comment>
    <comment ref="Q93" authorId="1" shapeId="0" xr:uid="{5A4820BA-C0CE-42A4-BCF2-DF46684BC9AA}">
      <text>
        <r>
          <rPr>
            <b/>
            <sz val="9"/>
            <color indexed="81"/>
            <rFont val="Tahoma"/>
            <family val="2"/>
          </rPr>
          <t>cut off every 30th</t>
        </r>
      </text>
    </comment>
    <comment ref="B94" authorId="1" shapeId="0" xr:uid="{E505AD46-6BDF-4077-AAA8-C1B580D1C10C}">
      <text>
        <r>
          <rPr>
            <b/>
            <sz val="9"/>
            <color indexed="81"/>
            <rFont val="Tahoma"/>
            <family val="2"/>
          </rPr>
          <t>Long term rent starting feb.2025</t>
        </r>
      </text>
    </comment>
    <comment ref="A97" authorId="1" shapeId="0" xr:uid="{7C3AC3D1-D696-4A2E-8546-437576BA5D5F}">
      <text>
        <r>
          <rPr>
            <b/>
            <sz val="9"/>
            <color indexed="81"/>
            <rFont val="Tahoma"/>
            <family val="2"/>
          </rPr>
          <t>turnover feb 20,2026</t>
        </r>
      </text>
    </comment>
    <comment ref="J99" authorId="1" shapeId="0" xr:uid="{BD658D2E-8634-45CB-8754-64D5EF7288ED}">
      <text>
        <r>
          <rPr>
            <b/>
            <sz val="9"/>
            <color indexed="81"/>
            <rFont val="Tahoma"/>
            <family val="2"/>
          </rPr>
          <t>fixed plan 1500</t>
        </r>
      </text>
    </comment>
    <comment ref="A100" authorId="1" shapeId="0" xr:uid="{B2D5D8A7-99DC-4A09-82A4-DFA064721095}">
      <text>
        <r>
          <rPr>
            <b/>
            <sz val="9"/>
            <color indexed="81"/>
            <rFont val="Tahoma"/>
            <family val="2"/>
          </rPr>
          <t>october new unit</t>
        </r>
      </text>
    </comment>
    <comment ref="A101" authorId="1" shapeId="0" xr:uid="{0D062C47-9A35-4A55-A879-3C8446B3179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27,2025
</t>
        </r>
      </text>
    </comment>
    <comment ref="R101" authorId="1" shapeId="0" xr:uid="{1887150F-29F5-4219-A6DD-E72CD96CAD00}">
      <text>
        <r>
          <rPr>
            <b/>
            <sz val="9"/>
            <color indexed="81"/>
            <rFont val="Tahoma"/>
            <family val="2"/>
          </rPr>
          <t xml:space="preserve">Over payment  327.23
</t>
        </r>
      </text>
    </comment>
    <comment ref="A102" authorId="1" shapeId="0" xr:uid="{867FB376-7E34-4C41-8A98-2081CC362911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27,2025
</t>
        </r>
      </text>
    </comment>
    <comment ref="I102" authorId="1" shapeId="0" xr:uid="{EF417D0D-8525-4CF1-83C8-F24E56C7B37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smart prepaid-
0964-549-4722
unli 1299
due date every 29th</t>
        </r>
      </text>
    </comment>
    <comment ref="A103" authorId="1" shapeId="0" xr:uid="{AAE0CC26-015A-4E3B-A7B5-08124EE679F2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27,2025
</t>
        </r>
      </text>
    </comment>
    <comment ref="A104" authorId="1" shapeId="0" xr:uid="{D3E56298-72BA-44F0-B789-2D1AC0CC8177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28
,2025
</t>
        </r>
      </text>
    </comment>
    <comment ref="B106" authorId="1" shapeId="0" xr:uid="{BAF1CDE8-C314-4FAA-9755-6C1386C16B6E}">
      <text>
        <r>
          <rPr>
            <sz val="9"/>
            <color indexed="81"/>
            <rFont val="Tahoma"/>
            <family val="2"/>
          </rPr>
          <t xml:space="preserve">august 2025 new unit
</t>
        </r>
      </text>
    </comment>
    <comment ref="B107" authorId="1" shapeId="0" xr:uid="{AEBDF622-69C5-4CCD-84E4-F014A8E719FF}">
      <text>
        <r>
          <rPr>
            <b/>
            <sz val="9"/>
            <color indexed="81"/>
            <rFont val="Tahoma"/>
            <family val="2"/>
          </rPr>
          <t>august 2025 new unit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8" authorId="1" shapeId="0" xr:uid="{DFAC6222-D1B8-4D4B-9D54-3FFE1EAF5D30}">
      <text>
        <r>
          <rPr>
            <b/>
            <sz val="9"/>
            <color indexed="81"/>
            <rFont val="Tahoma"/>
            <family val="2"/>
          </rPr>
          <t>august 2025 new unit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9" authorId="1" shapeId="0" xr:uid="{A27E6A51-693D-411C-AD91-3E21DAFDCBA2}">
      <text>
        <r>
          <rPr>
            <b/>
            <sz val="9"/>
            <color indexed="81"/>
            <rFont val="Tahoma"/>
            <family val="2"/>
          </rPr>
          <t>august 2025 new unit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0" authorId="1" shapeId="0" xr:uid="{208D4C4B-3FB2-45B4-96A9-27BFA026FA7B}">
      <text>
        <r>
          <rPr>
            <b/>
            <sz val="9"/>
            <color indexed="81"/>
            <rFont val="Tahoma"/>
            <family val="2"/>
          </rPr>
          <t>august 2025 new unit</t>
        </r>
      </text>
    </comment>
    <comment ref="B111" authorId="1" shapeId="0" xr:uid="{8F83DE0D-8C74-443B-BF5C-CB6B7743A544}">
      <text>
        <r>
          <rPr>
            <b/>
            <sz val="9"/>
            <color indexed="81"/>
            <rFont val="Tahoma"/>
            <family val="2"/>
          </rPr>
          <t>august 2025 new unit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2" authorId="1" shapeId="0" xr:uid="{D7B1A88F-6B11-4A76-81A5-8AC1D02ABAB6}">
      <text>
        <r>
          <rPr>
            <b/>
            <sz val="9"/>
            <color indexed="81"/>
            <rFont val="Tahoma"/>
            <family val="2"/>
          </rPr>
          <t xml:space="preserve">SEPT.2025 NEW UNIT
 have overdue assoc 3750.60, water 300 before turnover her unit to hm </t>
        </r>
      </text>
    </comment>
    <comment ref="J114" authorId="1" shapeId="0" xr:uid="{C52EB16D-B9B0-4957-A404-896F30730FC8}">
      <text>
        <r>
          <rPr>
            <b/>
            <sz val="9"/>
            <color indexed="81"/>
            <rFont val="Tahoma"/>
            <family val="2"/>
          </rPr>
          <t>converge-over 2 months, will not paid until february 2026. 
monthly plan 1699pesos
# january 24, 2026 deploy pldt prepaid number 09646631772 (spare unit) amount 1299</t>
        </r>
      </text>
    </comment>
    <comment ref="B122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======
ID#AAABo1cZSUw
ADMIN    (2025-08-05 22:19:01)
new bare unit pa</t>
        </r>
      </text>
    </comment>
    <comment ref="A13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======
ID#AAABmNCH6xs
ADMIN    (2025-05-01 05:55:27)
used by unit owner</t>
        </r>
      </text>
    </comment>
    <comment ref="J131" authorId="1" shapeId="0" xr:uid="{33D651D3-A98F-4053-A3A5-AE79D6F878AC}">
      <text>
        <r>
          <rPr>
            <b/>
            <sz val="9"/>
            <color indexed="81"/>
            <rFont val="Tahoma"/>
            <family val="2"/>
          </rPr>
          <t xml:space="preserve">999 monthly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4" authorId="0" shapeId="0" xr:uid="{C23D5179-ADC9-41DC-8E53-5C7001BBA5C2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J135" authorId="1" shapeId="0" xr:uid="{5DD5490F-9078-41A8-B4AD-C44F4958D63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monthly plan 1499
</t>
        </r>
      </text>
    </comment>
    <comment ref="H141" authorId="1" shapeId="0" xr:uid="{5C5D6FEC-EF44-406E-89F6-D72701B20C88}">
      <text>
        <r>
          <rPr>
            <b/>
            <sz val="9"/>
            <color indexed="81"/>
            <rFont val="Tahoma"/>
            <family val="2"/>
          </rPr>
          <t>transfer to SD 7i 
*Ablaoski permanent turbo Wifi Starting nov. 29 *
* MOVE T2 828 starting dec 3. 2025</t>
        </r>
      </text>
    </comment>
    <comment ref="H142" authorId="1" shapeId="0" xr:uid="{6CF7BC4C-99B7-4657-B758-E14CB3F07941}">
      <text>
        <r>
          <rPr>
            <b/>
            <sz val="9"/>
            <color indexed="81"/>
            <rFont val="Tahoma"/>
            <family val="2"/>
          </rPr>
          <t xml:space="preserve">from lps 16s
</t>
        </r>
        <r>
          <rPr>
            <sz val="9"/>
            <color indexed="81"/>
            <rFont val="Tahoma"/>
            <family val="2"/>
          </rPr>
          <t>Transfer to T4 828 starting Nov.29,2025(permanent)
* from t2 828 ,and move to ablaoski for permanent (dec. 2025)</t>
        </r>
      </text>
    </comment>
    <comment ref="I142" authorId="1" shapeId="0" xr:uid="{8D5AB062-1EF4-4A24-837D-77039F847B3B}">
      <text>
        <r>
          <rPr>
            <b/>
            <sz val="9"/>
            <color indexed="81"/>
            <rFont val="Tahoma"/>
            <family val="2"/>
          </rPr>
          <t>From lps 16s - Nov.19,2025</t>
        </r>
      </text>
    </comment>
    <comment ref="I143" authorId="1" shapeId="0" xr:uid="{1682871D-4F91-422D-91B8-D346877B4540}">
      <text>
        <r>
          <rPr>
            <b/>
            <sz val="9"/>
            <color indexed="81"/>
            <rFont val="Tahoma"/>
            <family val="2"/>
          </rPr>
          <t>RELOAD EVERY 15DAYS
unli call &amp; text with data</t>
        </r>
      </text>
    </comment>
    <comment ref="J143" authorId="1" shapeId="0" xr:uid="{B979C2AE-A781-4EC3-ACA5-C1E72528B95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199+2=201
</t>
        </r>
      </text>
    </comment>
    <comment ref="K143" authorId="1" shapeId="0" xr:uid="{6161A482-7F75-4B4D-9EA0-69A02D01D589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I144" authorId="1" shapeId="0" xr:uid="{26859CAB-367C-4892-A354-24C135E7DB47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RELOAD EVERY 15DAYS
unli call &amp; text with data</t>
        </r>
      </text>
    </comment>
    <comment ref="J144" authorId="1" shapeId="0" xr:uid="{58A68AFE-8838-44F7-8C1D-B51CFA80A441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199+2=201
</t>
        </r>
      </text>
    </comment>
    <comment ref="I145" authorId="1" shapeId="0" xr:uid="{85020D85-E746-4A28-92BC-5DF466C25C3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RELOAD EVERY 15DAYS
unli call &amp; text with data</t>
        </r>
      </text>
    </comment>
    <comment ref="J145" authorId="1" shapeId="0" xr:uid="{86D5F054-5E6D-4A8C-B4E7-5327396EB866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199+2=201
</t>
        </r>
      </text>
    </comment>
    <comment ref="J146" authorId="1" shapeId="0" xr:uid="{2EFA5BC2-56D4-4F2E-8641-027F544E8FFD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199+2=201
</t>
        </r>
      </text>
    </comment>
    <comment ref="J147" authorId="1" shapeId="0" xr:uid="{F7602658-9ADA-4BFF-B6CE-77A07741ACBC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199+2=201
</t>
        </r>
      </text>
    </comment>
    <comment ref="J148" authorId="1" shapeId="0" xr:uid="{90EC078F-10BC-4A9F-8E92-B0F8CF1D849B}">
      <text>
        <r>
          <rPr>
            <sz val="9"/>
            <color indexed="81"/>
            <rFont val="Tahoma"/>
            <family val="2"/>
          </rPr>
          <t xml:space="preserve">181+181
</t>
        </r>
      </text>
    </comment>
    <comment ref="H149" authorId="1" shapeId="0" xr:uid="{80DB618A-FEBF-423F-89BB-EBCC6B0F6DDE}">
      <text>
        <r>
          <rPr>
            <b/>
            <sz val="9"/>
            <color indexed="81"/>
            <rFont val="Tahoma"/>
            <family val="2"/>
          </rPr>
          <t>dito number 0993-472-6395 old number… not broadbrand</t>
        </r>
      </text>
    </comment>
    <comment ref="I149" authorId="1" shapeId="0" xr:uid="{0154EE23-0E91-48C5-8530-D7DEEBA76540}">
      <text>
        <r>
          <rPr>
            <b/>
            <sz val="9"/>
            <color indexed="81"/>
            <rFont val="Tahoma"/>
            <family val="2"/>
          </rPr>
          <t>dito number 0993-472-6395 old number… not broadbrand</t>
        </r>
      </text>
    </comment>
    <comment ref="J150" authorId="1" shapeId="0" xr:uid="{5A542D0D-ADA2-495E-8C6E-45A0F02C6475}">
      <text>
        <r>
          <rPr>
            <sz val="9"/>
            <color indexed="81"/>
            <rFont val="Tahoma"/>
            <family val="2"/>
          </rPr>
          <t xml:space="preserve">upgraded starting January
</t>
        </r>
      </text>
    </comment>
    <comment ref="J152" authorId="1" shapeId="0" xr:uid="{3455CB3C-16F8-4200-9A95-089B6593A164}">
      <text>
        <r>
          <rPr>
            <sz val="9"/>
            <color indexed="81"/>
            <rFont val="Tahoma"/>
            <family val="2"/>
          </rPr>
          <t>ALLNET Now W/ Landline 599
2months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k2h4WbxHbcckZ6fXKokRc08q5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HuboMoto</author>
    <author>ADMIN</author>
  </authors>
  <commentList>
    <comment ref="C4" authorId="0" shapeId="0" xr:uid="{B7990AF8-095D-4FB0-AED8-7D0A12E8889A}">
      <text>
        <r>
          <rPr>
            <sz val="11"/>
            <color theme="1"/>
            <rFont val="Calibri"/>
            <family val="2"/>
            <scheme val="minor"/>
          </rPr>
          <t>======
ID#AAABo1cZSUQ
ADMIN    (2025-08-05 22:19:01)
avida office</t>
        </r>
      </text>
    </comment>
    <comment ref="C6" authorId="0" shapeId="0" xr:uid="{57196455-D902-4C3F-B417-9B992C694AB2}">
      <text>
        <r>
          <rPr>
            <sz val="11"/>
            <color theme="1"/>
            <rFont val="Calibri"/>
            <family val="2"/>
            <scheme val="minor"/>
          </rPr>
          <t>======
ID#AAABpWHphZc
HuboMoto    (2025-08-16 00:52:05)
start assoc(july)</t>
        </r>
      </text>
    </comment>
    <comment ref="C7" authorId="1" shapeId="0" xr:uid="{37E26487-6274-4B7E-8D70-1AB622275DF2}">
      <text>
        <r>
          <rPr>
            <b/>
            <sz val="9"/>
            <color indexed="81"/>
            <rFont val="Tahoma"/>
            <family val="2"/>
          </rPr>
          <t>SEPT.2025 NEW UNIT
start payment this oct.2025</t>
        </r>
      </text>
    </comment>
    <comment ref="F7" authorId="1" shapeId="0" xr:uid="{7DB5493F-7021-4B42-AF34-A87A5A2F615A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4499 assoc-paid by owner</t>
        </r>
      </text>
    </comment>
    <comment ref="C12" authorId="1" shapeId="0" xr:uid="{F5953C69-0108-4B62-8629-7A8237DA2099}">
      <text>
        <r>
          <rPr>
            <b/>
            <sz val="9"/>
            <color indexed="81"/>
            <rFont val="Tahoma"/>
            <family val="2"/>
          </rPr>
          <t>SEPT.2025 NEW UNIT</t>
        </r>
      </text>
    </comment>
    <comment ref="F12" authorId="2" shapeId="0" xr:uid="{12D5311E-67AF-4368-9DD8-D07C6C61BA6D}">
      <text>
        <r>
          <rPr>
            <b/>
            <sz val="9"/>
            <color indexed="81"/>
            <rFont val="Tahoma"/>
            <family val="2"/>
          </rPr>
          <t>2,464 will be settled by owner start once online maybe october just check on Bcalendar</t>
        </r>
      </text>
    </comment>
    <comment ref="C13" authorId="1" shapeId="0" xr:uid="{325871A0-BD09-4BB1-946B-D8EEC016E867}">
      <text>
        <r>
          <rPr>
            <b/>
            <sz val="9"/>
            <color indexed="81"/>
            <rFont val="Tahoma"/>
            <family val="2"/>
          </rPr>
          <t>oct. in progress</t>
        </r>
      </text>
    </comment>
    <comment ref="F13" authorId="2" shapeId="0" xr:uid="{801170D2-9E6F-47E6-A5E4-B2F75D5A4CA6}">
      <text>
        <r>
          <rPr>
            <b/>
            <sz val="9"/>
            <color indexed="81"/>
            <rFont val="Tahoma"/>
            <family val="2"/>
          </rPr>
          <t>2,464 will be settled by owner start once online maybe october just check on Bcalendar</t>
        </r>
      </text>
    </comment>
    <comment ref="C14" authorId="1" shapeId="0" xr:uid="{1345ACF4-FFAD-49FC-9A3C-37B9488AAF38}">
      <text>
        <r>
          <rPr>
            <b/>
            <sz val="9"/>
            <color indexed="81"/>
            <rFont val="Tahoma"/>
            <family val="2"/>
          </rPr>
          <t>SEPT.2025 NEW UNIT
start payment oct. 2025</t>
        </r>
      </text>
    </comment>
    <comment ref="C21" authorId="0" shapeId="0" xr:uid="{71CFA182-18F0-4FDD-A106-37DA04B194A1}">
      <text>
        <r>
          <rPr>
            <sz val="11"/>
            <color theme="1"/>
            <rFont val="Calibri"/>
            <family val="2"/>
            <scheme val="minor"/>
          </rPr>
          <t>======
ID#AAABo1cZSVY
HuboMoto    (2025-08-05 22:19:01)
start assoc payment- august 2025</t>
        </r>
      </text>
    </comment>
    <comment ref="F21" authorId="1" shapeId="0" xr:uid="{58098B1C-4512-4BFD-97CD-AC4E72839D2E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paid by owner until dec. 2025</t>
        </r>
      </text>
    </comment>
    <comment ref="C22" authorId="0" shapeId="0" xr:uid="{05C0D598-BACE-46B1-BB53-D34DC6A37B80}">
      <text>
        <r>
          <rPr>
            <sz val="11"/>
            <color theme="1"/>
            <rFont val="Calibri"/>
            <family val="2"/>
            <scheme val="minor"/>
          </rPr>
          <t>======
ID#AAABo1cZSVk
HuboMoto    (2025-08-05 22:19:01)
start assoc payment- august 2025</t>
        </r>
      </text>
    </comment>
    <comment ref="F22" authorId="1" shapeId="0" xr:uid="{3223D7F9-5F32-481F-B4BB-41FBC71BF10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paid by owner until dec. 2025</t>
        </r>
      </text>
    </comment>
    <comment ref="F29" authorId="0" shapeId="0" xr:uid="{0294E96A-31C4-4B2E-A4E2-F1350C4C3198}">
      <text>
        <r>
          <rPr>
            <sz val="11"/>
            <color theme="1"/>
            <rFont val="Calibri"/>
            <family val="2"/>
            <scheme val="minor"/>
          </rPr>
          <t>======
ID#AAABo1cZSTA
HuboMoto    (2025-08-05 22:19:01)
fully paid by owner (annual)</t>
        </r>
      </text>
    </comment>
    <comment ref="A33" authorId="1" shapeId="0" xr:uid="{AC954691-CCBD-4477-9720-9A9EE1C8434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start paid assoc again this oct.</t>
        </r>
      </text>
    </comment>
    <comment ref="F33" authorId="0" shapeId="0" xr:uid="{2566D271-3357-427E-941B-A0972ACE375E}">
      <text>
        <r>
          <rPr>
            <sz val="11"/>
            <color theme="1"/>
            <rFont val="Calibri"/>
            <family val="2"/>
            <scheme val="minor"/>
          </rPr>
          <t>======
ID#AAABo1cZSS8
HuboMoto    (2025-08-05 22:19:01)
overpayment until sept.2025, start to paid again oct 2025
assoc amount of 2519</t>
        </r>
      </text>
    </comment>
    <comment ref="A34" authorId="1" shapeId="0" xr:uid="{AD0D3918-1E9D-46C2-8BD0-D14B97E4E4A3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turnover january 15,2026</t>
        </r>
      </text>
    </comment>
  </commentList>
</comments>
</file>

<file path=xl/sharedStrings.xml><?xml version="1.0" encoding="utf-8"?>
<sst xmlns="http://schemas.openxmlformats.org/spreadsheetml/2006/main" count="2627" uniqueCount="660">
  <si>
    <t>DD</t>
  </si>
  <si>
    <t>Property</t>
  </si>
  <si>
    <t>Unit Owner</t>
  </si>
  <si>
    <t>Classification</t>
  </si>
  <si>
    <t>Deposit</t>
  </si>
  <si>
    <t>Rent</t>
  </si>
  <si>
    <t>Internet Provider</t>
  </si>
  <si>
    <t>Account  No.</t>
  </si>
  <si>
    <t>Wifi</t>
  </si>
  <si>
    <t>Due Date Wifi</t>
  </si>
  <si>
    <t>Payment Status WiFi</t>
  </si>
  <si>
    <t>Water Account No.</t>
  </si>
  <si>
    <t>Water</t>
  </si>
  <si>
    <t>Due Date Water</t>
  </si>
  <si>
    <t>Payment Status Water</t>
  </si>
  <si>
    <t>Electricity Acount No.</t>
  </si>
  <si>
    <t>Electricity</t>
  </si>
  <si>
    <t>Due Date Electricity</t>
  </si>
  <si>
    <t>Payment Status Electricity</t>
  </si>
  <si>
    <t>Association Dues</t>
  </si>
  <si>
    <t>Due Date Assoc</t>
  </si>
  <si>
    <t>Payment Status Assoc</t>
  </si>
  <si>
    <t>Real Property Tax</t>
  </si>
  <si>
    <t>Payment Status RPT</t>
  </si>
  <si>
    <t>Penalty</t>
  </si>
  <si>
    <t>Per Property Status</t>
  </si>
  <si>
    <t>Column1</t>
  </si>
  <si>
    <t>Avida Towers</t>
  </si>
  <si>
    <t>B2 T2 108</t>
  </si>
  <si>
    <t>Edward Espinosa</t>
  </si>
  <si>
    <t>Fixed</t>
  </si>
  <si>
    <t>Globe</t>
  </si>
  <si>
    <t>Paid</t>
  </si>
  <si>
    <t>MANSRA61781031</t>
  </si>
  <si>
    <t>N/A</t>
  </si>
  <si>
    <t>60%</t>
  </si>
  <si>
    <t>B3 T3 1011</t>
  </si>
  <si>
    <t>Gutierrez Development Comp Inc.</t>
  </si>
  <si>
    <t>Partnership</t>
  </si>
  <si>
    <t xml:space="preserve">MANSRA16758296
</t>
  </si>
  <si>
    <t>80%</t>
  </si>
  <si>
    <t>D2 T3 626</t>
  </si>
  <si>
    <t>Donnave Caramat</t>
  </si>
  <si>
    <t>MANPHB31540282</t>
  </si>
  <si>
    <t>D T1 917</t>
  </si>
  <si>
    <t>Robert Stanley Po</t>
  </si>
  <si>
    <t>MANSRA71571103</t>
  </si>
  <si>
    <t>E2 T2 309</t>
  </si>
  <si>
    <t>Mary Joyce Torrefranca</t>
  </si>
  <si>
    <t>MANSRA14220950</t>
  </si>
  <si>
    <t>F T2 1020</t>
  </si>
  <si>
    <t>Kathreen Socorro Piamonte</t>
  </si>
  <si>
    <t>MANSRA55241236</t>
  </si>
  <si>
    <t>H2 T2 521</t>
  </si>
  <si>
    <t>Maria Rita Jardiolin</t>
  </si>
  <si>
    <t>MANSRA70401709</t>
  </si>
  <si>
    <t>I2 T2 522</t>
  </si>
  <si>
    <t>Lourdes Carney</t>
  </si>
  <si>
    <t>shared w/ 521</t>
  </si>
  <si>
    <t>MANSRA35131182</t>
  </si>
  <si>
    <t>40%</t>
  </si>
  <si>
    <t>J T3 812</t>
  </si>
  <si>
    <t>Vincent Flaminian</t>
  </si>
  <si>
    <t>MANSRA01641069</t>
  </si>
  <si>
    <t>J2 T4 117</t>
  </si>
  <si>
    <t>Cherry Villa</t>
  </si>
  <si>
    <t>Load&gt;G-fiber Prepaid</t>
  </si>
  <si>
    <t>MANSRA58640956</t>
  </si>
  <si>
    <t>K T2 708</t>
  </si>
  <si>
    <t>MANSRA33931235</t>
  </si>
  <si>
    <t>K2 S2 322</t>
  </si>
  <si>
    <t>Nathaniel Von Einsiedel</t>
  </si>
  <si>
    <t>MANSRA03141717</t>
  </si>
  <si>
    <t>L S2 716</t>
  </si>
  <si>
    <t>Raymund Trenas</t>
  </si>
  <si>
    <t>MANSRA65250820</t>
  </si>
  <si>
    <t>M T3 610</t>
  </si>
  <si>
    <t>Vanessa Versola</t>
  </si>
  <si>
    <t>MANSRA38501071</t>
  </si>
  <si>
    <t>M2 T3 424</t>
  </si>
  <si>
    <t>Leyson San Juan</t>
  </si>
  <si>
    <t>MANSRA65210493</t>
  </si>
  <si>
    <t>N T2 421</t>
  </si>
  <si>
    <t>Roberto Gelvezon</t>
  </si>
  <si>
    <t>MANSRA16820807</t>
  </si>
  <si>
    <t>N2 T3 426</t>
  </si>
  <si>
    <t>MANSRA30330486</t>
  </si>
  <si>
    <t>O2 T3 826</t>
  </si>
  <si>
    <t>MANSRA34300490</t>
  </si>
  <si>
    <t>P S1 503</t>
  </si>
  <si>
    <t>Nino Donato Pison</t>
  </si>
  <si>
    <t>MANSRA98030498</t>
  </si>
  <si>
    <t>Q T2 420</t>
  </si>
  <si>
    <t>Gerard Teofilo Gelvezon</t>
  </si>
  <si>
    <t>shared w/ 421</t>
  </si>
  <si>
    <t>MANSRA48860809</t>
  </si>
  <si>
    <t>R T2 1423</t>
  </si>
  <si>
    <t>MANSRA09161010</t>
  </si>
  <si>
    <t>R2 T2 1223</t>
  </si>
  <si>
    <t>Irene Lachica</t>
  </si>
  <si>
    <t>MANSRA55661661</t>
  </si>
  <si>
    <t>S S1 717</t>
  </si>
  <si>
    <t>Revrose Selyn Pison</t>
  </si>
  <si>
    <t>MANSRA14731662</t>
  </si>
  <si>
    <t>S1 408</t>
  </si>
  <si>
    <t>Edgardo Pison</t>
  </si>
  <si>
    <t>MANSRA50351769</t>
  </si>
  <si>
    <t>S2 S1 210</t>
  </si>
  <si>
    <t>Dondon Pison</t>
  </si>
  <si>
    <t>MANSRA08160510</t>
  </si>
  <si>
    <t>T T2 815</t>
  </si>
  <si>
    <t>William Del Rosario</t>
  </si>
  <si>
    <t>MANSRA42301173</t>
  </si>
  <si>
    <t>T2 S2 703</t>
  </si>
  <si>
    <t>Leo Paranpan</t>
  </si>
  <si>
    <t>MANSRA23370553</t>
  </si>
  <si>
    <t>Katrina Samoro</t>
  </si>
  <si>
    <t>MANSRA39490997</t>
  </si>
  <si>
    <t>V2 T1 306</t>
  </si>
  <si>
    <t>MANSRA40741667</t>
  </si>
  <si>
    <t>W T2 1008</t>
  </si>
  <si>
    <t>Roy Sio</t>
  </si>
  <si>
    <t>MANSRA04151023</t>
  </si>
  <si>
    <t>X T2 1021</t>
  </si>
  <si>
    <t>Michael Borro</t>
  </si>
  <si>
    <t>Shared w/ F T2 1020</t>
  </si>
  <si>
    <t>MANSRA83841242</t>
  </si>
  <si>
    <t>Smart</t>
  </si>
  <si>
    <t>Y S1 704</t>
  </si>
  <si>
    <t>Goldamier Ybera Chua</t>
  </si>
  <si>
    <t>shared w/ 717</t>
  </si>
  <si>
    <t>MANSRA40520451</t>
  </si>
  <si>
    <t>Y2 S2 203</t>
  </si>
  <si>
    <t>Ma. Crislyne Mae Espinosa</t>
  </si>
  <si>
    <t>MANSRA26631370</t>
  </si>
  <si>
    <t>B T1 501</t>
  </si>
  <si>
    <t>Dr.Angelina Cordero</t>
  </si>
  <si>
    <t>MANSRA26300939</t>
  </si>
  <si>
    <t>Lafayette</t>
  </si>
  <si>
    <t>15 LPS 10-O</t>
  </si>
  <si>
    <t>Michael Limsiaco</t>
  </si>
  <si>
    <t>MANABE87571004</t>
  </si>
  <si>
    <t>Smart Prepaid</t>
  </si>
  <si>
    <t>63-9646730287</t>
  </si>
  <si>
    <t>MANABE86820874</t>
  </si>
  <si>
    <t>Gomo</t>
  </si>
  <si>
    <t>18 LPS 9R</t>
  </si>
  <si>
    <t>Risty Durbin</t>
  </si>
  <si>
    <t>MANABE34510968</t>
  </si>
  <si>
    <t>24 LPS 9PQ</t>
  </si>
  <si>
    <t>Smart bro</t>
  </si>
  <si>
    <t>MANABE23210966</t>
  </si>
  <si>
    <t>25 LPS 8S</t>
  </si>
  <si>
    <t>Julius Jacomille</t>
  </si>
  <si>
    <t>MANABE10370997</t>
  </si>
  <si>
    <t>6 LPS 16S</t>
  </si>
  <si>
    <t xml:space="preserve">Christine Ladigohon </t>
  </si>
  <si>
    <t xml:space="preserve">Globe one </t>
  </si>
  <si>
    <t>MANABE70750967</t>
  </si>
  <si>
    <t>5 LPS 16T</t>
  </si>
  <si>
    <t>Esther Palmares</t>
  </si>
  <si>
    <t>MANABE51730969</t>
  </si>
  <si>
    <t>Jean Talves Bearneza</t>
  </si>
  <si>
    <t>MANABE99930832</t>
  </si>
  <si>
    <t>One Madison</t>
  </si>
  <si>
    <t>19 OMP T1 4E</t>
  </si>
  <si>
    <t>Robert Javellana</t>
  </si>
  <si>
    <t>63-9764848115</t>
  </si>
  <si>
    <t>MOLSJU92420938</t>
  </si>
  <si>
    <t>Complete</t>
  </si>
  <si>
    <t>2 OMP T1 8D</t>
  </si>
  <si>
    <t>Maja Kathleen Armonio</t>
  </si>
  <si>
    <t>MANGUZ75181245</t>
  </si>
  <si>
    <t>20 OMP T1 9S</t>
  </si>
  <si>
    <t>Hyacinth Faraon</t>
  </si>
  <si>
    <t>GOMO</t>
  </si>
  <si>
    <t>63-976-232-6314</t>
  </si>
  <si>
    <t>JARCUB18720972</t>
  </si>
  <si>
    <t>28 OMP T3 5M</t>
  </si>
  <si>
    <t>Cynthia Mansueto</t>
  </si>
  <si>
    <t>MANABE09000641</t>
  </si>
  <si>
    <t>3 OMP T3 10-O</t>
  </si>
  <si>
    <t>Ramel Uy</t>
  </si>
  <si>
    <t>MANABE02870544</t>
  </si>
  <si>
    <t>63-964-484-2081</t>
  </si>
  <si>
    <t>63-964-561-7445</t>
  </si>
  <si>
    <t>MANABE44480522</t>
  </si>
  <si>
    <t xml:space="preserve"> </t>
  </si>
  <si>
    <t>40 OMP T1 7U</t>
  </si>
  <si>
    <t>Millicent Tiu</t>
  </si>
  <si>
    <t>SmartBroHomewifi</t>
  </si>
  <si>
    <t>63-964-560-2363</t>
  </si>
  <si>
    <t>MANBTN14450361</t>
  </si>
  <si>
    <t>Paid by Owner</t>
  </si>
  <si>
    <t>41 OMP T3 10K</t>
  </si>
  <si>
    <t>Ibrahim Khalilullah Maricar</t>
  </si>
  <si>
    <t>63-09645611562</t>
  </si>
  <si>
    <t>MANABE66320526</t>
  </si>
  <si>
    <t>45 OMP T2 9L</t>
  </si>
  <si>
    <t>Ross Lim</t>
  </si>
  <si>
    <t>09644811469</t>
  </si>
  <si>
    <t>MANABE07630510</t>
  </si>
  <si>
    <t>One Spatial</t>
  </si>
  <si>
    <t>Converge</t>
  </si>
  <si>
    <t>Palladium</t>
  </si>
  <si>
    <t>Arlene Tirador</t>
  </si>
  <si>
    <t>MANABE30411282</t>
  </si>
  <si>
    <t>14 TP NW 22C</t>
  </si>
  <si>
    <t>63-998-828-4343</t>
  </si>
  <si>
    <t>MANABE21641165</t>
  </si>
  <si>
    <t>9 TP 10E NW</t>
  </si>
  <si>
    <t>Jean Sumampong</t>
  </si>
  <si>
    <t>63-976-020-6275</t>
  </si>
  <si>
    <t>MANABE85521308</t>
  </si>
  <si>
    <t>8 TP NW 21B</t>
  </si>
  <si>
    <t>Amy Lapating</t>
  </si>
  <si>
    <t>MANABE85821203</t>
  </si>
  <si>
    <t>People's Condo</t>
  </si>
  <si>
    <t>PC A 511</t>
  </si>
  <si>
    <t>Bryan So</t>
  </si>
  <si>
    <t>63-976-350-6956</t>
  </si>
  <si>
    <t>PC B 512</t>
  </si>
  <si>
    <t>shared w/ 512</t>
  </si>
  <si>
    <t>Saint Dominique</t>
  </si>
  <si>
    <t>23 SD SW 8C</t>
  </si>
  <si>
    <t>Maricel Hoy</t>
  </si>
  <si>
    <t>MANSRA20961821</t>
  </si>
  <si>
    <t>29 SD SW 3i</t>
  </si>
  <si>
    <t>Ma Precious Fe Matorres</t>
  </si>
  <si>
    <t>63-961-092-6625</t>
  </si>
  <si>
    <t>MANSRA37264482</t>
  </si>
  <si>
    <t>33 SD SW 7i</t>
  </si>
  <si>
    <t>Antonio Geronca</t>
  </si>
  <si>
    <t>MANSRA50174477</t>
  </si>
  <si>
    <t>7 SD 9G SW</t>
  </si>
  <si>
    <t>Noah Montenegro</t>
  </si>
  <si>
    <t>MANSRA82251862</t>
  </si>
  <si>
    <t>30 SD NW 8B</t>
  </si>
  <si>
    <t>Anjo Diansay</t>
  </si>
  <si>
    <t>63-928-122-4327</t>
  </si>
  <si>
    <t>MANSRA54991782</t>
  </si>
  <si>
    <t>37 SD NW 5F</t>
  </si>
  <si>
    <t>63-09644891476</t>
  </si>
  <si>
    <t>MANSRA97164420</t>
  </si>
  <si>
    <t>Saint Honore</t>
  </si>
  <si>
    <t>1 SH NW 8C</t>
  </si>
  <si>
    <t>Jan Cupid Musa</t>
  </si>
  <si>
    <t>MANSRA14611494</t>
  </si>
  <si>
    <t>Ernesto Tuvida</t>
  </si>
  <si>
    <t>Globe at home</t>
  </si>
  <si>
    <t>MANSRA33761475</t>
  </si>
  <si>
    <t>Globe at Home</t>
  </si>
  <si>
    <t>MANSRA95261312</t>
  </si>
  <si>
    <t>26 SH SW 7G</t>
  </si>
  <si>
    <t>MANSRA32141547</t>
  </si>
  <si>
    <t>Charizzma Go</t>
  </si>
  <si>
    <t>MANSRA85401321</t>
  </si>
  <si>
    <t>20%</t>
  </si>
  <si>
    <t xml:space="preserve">SMDC Style </t>
  </si>
  <si>
    <t>SM 2 BA 215</t>
  </si>
  <si>
    <t>Sweden Louise Wu</t>
  </si>
  <si>
    <t>MANBTN92080646</t>
  </si>
  <si>
    <t>SM 6 BA 1505</t>
  </si>
  <si>
    <t>Jovie Catalan</t>
  </si>
  <si>
    <t>MANBTN29190850</t>
  </si>
  <si>
    <t>SM 7 BA 509</t>
  </si>
  <si>
    <t>Evangeline Uy</t>
  </si>
  <si>
    <t>MANBTN43270623</t>
  </si>
  <si>
    <t>SM 8 BA 1115</t>
  </si>
  <si>
    <t>April Kaoli Mayordomo</t>
  </si>
  <si>
    <t>MANBTN14091227</t>
  </si>
  <si>
    <t>SM 9 BC 208</t>
  </si>
  <si>
    <t>Dan Mark Jurada</t>
  </si>
  <si>
    <t>MANBTN79002357</t>
  </si>
  <si>
    <t>SM 10 BA 1420</t>
  </si>
  <si>
    <t>Sugar Ganancial</t>
  </si>
  <si>
    <t>Smart Home WiFi</t>
  </si>
  <si>
    <t>63-9645434628</t>
  </si>
  <si>
    <t>MANBTN68840894</t>
  </si>
  <si>
    <t>SM 11 BB 624</t>
  </si>
  <si>
    <t>Karen Go</t>
  </si>
  <si>
    <t>MANBTN13411337</t>
  </si>
  <si>
    <t>WV Towers</t>
  </si>
  <si>
    <t>WV 1 T1 519</t>
  </si>
  <si>
    <t>Ruby Arroyo</t>
  </si>
  <si>
    <t>BA Tech</t>
  </si>
  <si>
    <t>MANPAL65500507</t>
  </si>
  <si>
    <t>WV 2 T1 824</t>
  </si>
  <si>
    <t>MANPAL33810441</t>
  </si>
  <si>
    <t>WV 3 T1 1003</t>
  </si>
  <si>
    <t>Rhea Subong</t>
  </si>
  <si>
    <t>MANABE84831534</t>
  </si>
  <si>
    <t>WV 4 T1 813</t>
  </si>
  <si>
    <t>Victor Raymundo Contreras</t>
  </si>
  <si>
    <t>MANPAL11160428</t>
  </si>
  <si>
    <t>WV 5 T1 816</t>
  </si>
  <si>
    <t>MANPAL39670431</t>
  </si>
  <si>
    <t>WV 6 T1 820</t>
  </si>
  <si>
    <t>MANPAL62930436</t>
  </si>
  <si>
    <t>WV 7 T1 821</t>
  </si>
  <si>
    <t>shared w/ 820</t>
  </si>
  <si>
    <t>MANPAL80360438</t>
  </si>
  <si>
    <t>WV 8 T1 818</t>
  </si>
  <si>
    <t>MANPAL98670434</t>
  </si>
  <si>
    <t>WV 9 T1 817</t>
  </si>
  <si>
    <t>MANPAL47830432</t>
  </si>
  <si>
    <t>WV 10 T2 914</t>
  </si>
  <si>
    <t>Julius Barvilla</t>
  </si>
  <si>
    <t>MANPAL89200756</t>
  </si>
  <si>
    <t>WV 11 T2 1006</t>
  </si>
  <si>
    <t>shared w/ 1007</t>
  </si>
  <si>
    <t>MANPAL54760738</t>
  </si>
  <si>
    <t>WV 12 T1 805</t>
  </si>
  <si>
    <t>L Leo Dimamay</t>
  </si>
  <si>
    <t>MANPAL73330419</t>
  </si>
  <si>
    <t>WV 13 T1 717</t>
  </si>
  <si>
    <t>MANPAL57570405</t>
  </si>
  <si>
    <t>WV 14 T1 718</t>
  </si>
  <si>
    <t>MANPAL85040406</t>
  </si>
  <si>
    <t>WV 15 T1 715</t>
  </si>
  <si>
    <t>Jose Roy Hipolito</t>
  </si>
  <si>
    <t>MANPAL63980402</t>
  </si>
  <si>
    <t>WV 16 T1 705</t>
  </si>
  <si>
    <t>MANPAL59440388</t>
  </si>
  <si>
    <t>WV 17 T1 1005</t>
  </si>
  <si>
    <t>MANPAL28930477</t>
  </si>
  <si>
    <t>WV 19 T1 802</t>
  </si>
  <si>
    <t>Juzziel Magno</t>
  </si>
  <si>
    <t>MANPAL26730416</t>
  </si>
  <si>
    <t>WV 20 T2 501</t>
  </si>
  <si>
    <t>John Marañon</t>
  </si>
  <si>
    <t>MANPAL50300598</t>
  </si>
  <si>
    <t>WV 21 T2 824</t>
  </si>
  <si>
    <t>Jessie Labiste Jr.</t>
  </si>
  <si>
    <t>MANPAL89440707</t>
  </si>
  <si>
    <t>WV 22 T2 1007</t>
  </si>
  <si>
    <t>MANPAL67040741</t>
  </si>
  <si>
    <t>WV 23 T2 1013</t>
  </si>
  <si>
    <t>Ri Jade Quezon</t>
  </si>
  <si>
    <t>MANPAL13100757</t>
  </si>
  <si>
    <t>BERNWOOD</t>
  </si>
  <si>
    <t>BT 1 1222</t>
  </si>
  <si>
    <t xml:space="preserve">Ruth Santisteban Serrato </t>
  </si>
  <si>
    <t xml:space="preserve">PANAY </t>
  </si>
  <si>
    <t>CITVIL78780560</t>
  </si>
  <si>
    <t>TOTAL</t>
  </si>
  <si>
    <t>Total</t>
  </si>
  <si>
    <t xml:space="preserve">Nelson Cubil Malfarta/Rosalinda </t>
  </si>
  <si>
    <t>MANPAL84870499</t>
  </si>
  <si>
    <t>Victoria raiza Contreras Javier</t>
  </si>
  <si>
    <t>MANPAL15190490</t>
  </si>
  <si>
    <t>Valerie Rose Contreras Escalante</t>
  </si>
  <si>
    <t>MANPAL81730485</t>
  </si>
  <si>
    <t>Grace marie Salvador</t>
  </si>
  <si>
    <t>MANPAL73280475</t>
  </si>
  <si>
    <t>Erlinda Kochoa contreras</t>
  </si>
  <si>
    <t>Mega panay distribution inc.</t>
  </si>
  <si>
    <t>MANPAL57770420</t>
  </si>
  <si>
    <t>MANPAL38810409</t>
  </si>
  <si>
    <t>MANABE92620553</t>
  </si>
  <si>
    <t>MANBUC64030718</t>
  </si>
  <si>
    <t>36 OMP T3 5G</t>
  </si>
  <si>
    <t>Sharon agarrado</t>
  </si>
  <si>
    <t>Laarni Latoza</t>
  </si>
  <si>
    <t>Marites Marana</t>
  </si>
  <si>
    <t>MANPAL22390597</t>
  </si>
  <si>
    <t>Anne Gabrielle Baragona</t>
  </si>
  <si>
    <t>0964-542-1415</t>
  </si>
  <si>
    <t>0964-556-7545</t>
  </si>
  <si>
    <t xml:space="preserve">Globe </t>
  </si>
  <si>
    <t>16 LPS 15X</t>
  </si>
  <si>
    <t>Euniel Solinap</t>
  </si>
  <si>
    <t>63 976 553 5585</t>
  </si>
  <si>
    <t>MANABE10370929</t>
  </si>
  <si>
    <t>Smart Prepaid- turbo</t>
  </si>
  <si>
    <t>Smart- turbo</t>
  </si>
  <si>
    <t>Smart -turbo</t>
  </si>
  <si>
    <t>MANSRA86831405</t>
  </si>
  <si>
    <t>Joy bustamante Jandoc</t>
  </si>
  <si>
    <t>Gfiber Prepaid</t>
  </si>
  <si>
    <t>0933-543-3900</t>
  </si>
  <si>
    <t>MANSRA83860698</t>
  </si>
  <si>
    <t>LAZTIC19740229</t>
  </si>
  <si>
    <t>MANABE52810481</t>
  </si>
  <si>
    <t>WV 31 T1 606</t>
  </si>
  <si>
    <t>WV 32 T1 615</t>
  </si>
  <si>
    <t>WV 30 T1 614</t>
  </si>
  <si>
    <t>Eden Sanchez Satinitigan</t>
  </si>
  <si>
    <t>Genalyn Dagum</t>
  </si>
  <si>
    <t>639-274649704</t>
  </si>
  <si>
    <t>SM 1 BA 1510</t>
  </si>
  <si>
    <t>Jeanne Bell Ferrer</t>
  </si>
  <si>
    <t>MANBTN53090858</t>
  </si>
  <si>
    <t>63-9645459089</t>
  </si>
  <si>
    <t>LIEMPYO</t>
  </si>
  <si>
    <t>MARKETING</t>
  </si>
  <si>
    <t>BS</t>
  </si>
  <si>
    <t xml:space="preserve">EGM </t>
  </si>
  <si>
    <t>GLOBE PREPAID</t>
  </si>
  <si>
    <t>63-927-624-1222</t>
  </si>
  <si>
    <t>63-927-624-1223</t>
  </si>
  <si>
    <t>A/C (internal)</t>
  </si>
  <si>
    <t xml:space="preserve">SPACEBAR </t>
  </si>
  <si>
    <t>PANAY BROADBAND</t>
  </si>
  <si>
    <t>CONVERGE</t>
  </si>
  <si>
    <t>1565-6020-33289</t>
  </si>
  <si>
    <t>Irish Deysolong</t>
  </si>
  <si>
    <t>63-9646-795-926</t>
  </si>
  <si>
    <t>63-9646-794-510</t>
  </si>
  <si>
    <t>Felicito Simon/Lorena Simon</t>
  </si>
  <si>
    <t>OS 3 1718</t>
  </si>
  <si>
    <t>Lisa Panes</t>
  </si>
  <si>
    <t>SM 3 BB 109</t>
  </si>
  <si>
    <t>Helen Espera</t>
  </si>
  <si>
    <t>MANBTN67871091</t>
  </si>
  <si>
    <t>ELIZABETH LUTERO/ NIEL RHODORA</t>
  </si>
  <si>
    <t>OS 2 1327</t>
  </si>
  <si>
    <t>Gaudelyn Delfin</t>
  </si>
  <si>
    <t>OSI-BOI-L327</t>
  </si>
  <si>
    <t>MANBUC37860937</t>
  </si>
  <si>
    <t>OSI-BOI-L1014</t>
  </si>
  <si>
    <t>OSI-BOI-L718</t>
  </si>
  <si>
    <t>Myara Grove</t>
  </si>
  <si>
    <t>PLDT HOME PREPAID</t>
  </si>
  <si>
    <t xml:space="preserve">Dito Prepaid </t>
  </si>
  <si>
    <t>0927-6431-755</t>
  </si>
  <si>
    <t>0927-624-1220</t>
  </si>
  <si>
    <t>0927-6431-848</t>
  </si>
  <si>
    <t>0927-6431-847</t>
  </si>
  <si>
    <t>MANABE72410653</t>
  </si>
  <si>
    <t>MANBTN99120910</t>
  </si>
  <si>
    <t>BA TECH</t>
  </si>
  <si>
    <t>GLOBE POSTPAID</t>
  </si>
  <si>
    <t>0992- 182- 4896</t>
  </si>
  <si>
    <t>0954-692-0557</t>
  </si>
  <si>
    <t>MANSRA51310434</t>
  </si>
  <si>
    <t>MANSRA71380436</t>
  </si>
  <si>
    <t>0964-546-5078</t>
  </si>
  <si>
    <t>MANBUC34360785</t>
  </si>
  <si>
    <t>MANONA03201663</t>
  </si>
  <si>
    <t>MANPAL07380410</t>
  </si>
  <si>
    <t>MANPAL26520407</t>
  </si>
  <si>
    <t>MANPAL70410380</t>
  </si>
  <si>
    <t>Globe prepaid</t>
  </si>
  <si>
    <t>na</t>
  </si>
  <si>
    <t>HK-1</t>
  </si>
  <si>
    <t>HK-2</t>
  </si>
  <si>
    <t>0964-546-9753</t>
  </si>
  <si>
    <t>0964-483-3323</t>
  </si>
  <si>
    <t>HK-3 arlene</t>
  </si>
  <si>
    <t>MANABE12391000</t>
  </si>
  <si>
    <t>MANSRS14000222</t>
  </si>
  <si>
    <t xml:space="preserve">Turbo smart home wifi </t>
  </si>
  <si>
    <t>Ablaoski Apartment</t>
  </si>
  <si>
    <t>0992- 182- 4897</t>
  </si>
  <si>
    <t xml:space="preserve">Radney- </t>
  </si>
  <si>
    <t>Pldt Home Prepaid</t>
  </si>
  <si>
    <t>G S2 515</t>
  </si>
  <si>
    <t>E T1 325</t>
  </si>
  <si>
    <t>C T1 1516</t>
  </si>
  <si>
    <t>A T1 1016</t>
  </si>
  <si>
    <t>U T2 209</t>
  </si>
  <si>
    <t>H T2 219</t>
  </si>
  <si>
    <t>I T4 828</t>
  </si>
  <si>
    <t>22 LPS 8U</t>
  </si>
  <si>
    <t>42 LPS 5E</t>
  </si>
  <si>
    <t>11 LPS 4-O</t>
  </si>
  <si>
    <t>12 OMP T2 4P</t>
  </si>
  <si>
    <t>17OMP T1 5B</t>
  </si>
  <si>
    <t>13 OMP T3 6Hi</t>
  </si>
  <si>
    <t>OS 1 1014</t>
  </si>
  <si>
    <t>21 SH NW 6A</t>
  </si>
  <si>
    <t>4 SH SW 5M</t>
  </si>
  <si>
    <t>43 SH NW 5T</t>
  </si>
  <si>
    <t>SM 5 BA 1425</t>
  </si>
  <si>
    <t>10 TP SW 9E</t>
  </si>
  <si>
    <t>WV 29 T2 701</t>
  </si>
  <si>
    <t>WV 11 T1 720</t>
  </si>
  <si>
    <t>WV 24 T1 508</t>
  </si>
  <si>
    <t>WV 25 T1 511</t>
  </si>
  <si>
    <t>WV 26 T1 513</t>
  </si>
  <si>
    <t>WV 27 T1 516</t>
  </si>
  <si>
    <t>WV 28 T1 616</t>
  </si>
  <si>
    <t>WV 34 T1 617</t>
  </si>
  <si>
    <t>OMP T2 4K</t>
  </si>
  <si>
    <t>Move to 828- dec. 03, 2025</t>
  </si>
  <si>
    <t>32 OMP T3 10E</t>
  </si>
  <si>
    <t>Ruth Lim</t>
  </si>
  <si>
    <t>t2 824</t>
  </si>
  <si>
    <t>0964-6789-323</t>
  </si>
  <si>
    <t>Spare unit</t>
  </si>
  <si>
    <t>Smart  Home Wifi</t>
  </si>
  <si>
    <t>0964-546-1401</t>
  </si>
  <si>
    <t>Rosene Tabirao</t>
  </si>
  <si>
    <t>Merisa S. Gotera</t>
  </si>
  <si>
    <t>PLDT Postpaid</t>
  </si>
  <si>
    <t>MANABE42130547</t>
  </si>
  <si>
    <t>WV T2 OFFICE</t>
  </si>
  <si>
    <t>PLDT</t>
  </si>
  <si>
    <t>AC 1 - Arnith</t>
  </si>
  <si>
    <t>0964-549-4722</t>
  </si>
  <si>
    <t>MANSRA97211032</t>
  </si>
  <si>
    <t>OMP T1 9D</t>
  </si>
  <si>
    <t>Mila Lapitan</t>
  </si>
  <si>
    <t>For Turnover</t>
  </si>
  <si>
    <t>A/C Engineering</t>
  </si>
  <si>
    <t>Tower 1</t>
  </si>
  <si>
    <t>Tower 2</t>
  </si>
  <si>
    <t>Tower 3</t>
  </si>
  <si>
    <t>Tower 4</t>
  </si>
  <si>
    <t>Storys 1</t>
  </si>
  <si>
    <t>Storys 2</t>
  </si>
  <si>
    <t>Building</t>
  </si>
  <si>
    <t>SD SW 3J</t>
  </si>
  <si>
    <t>NA</t>
  </si>
  <si>
    <t>ARVSF196930421</t>
  </si>
  <si>
    <t>0964-5428-824</t>
  </si>
  <si>
    <t>pldt</t>
  </si>
  <si>
    <t>lps 5E transfer to Sd 3j end number 992</t>
  </si>
  <si>
    <t>0964-6610-992</t>
  </si>
  <si>
    <t>A/C (external)- Arriane</t>
  </si>
  <si>
    <t>MANSRA34914483</t>
  </si>
  <si>
    <t>OMP T3 5F</t>
  </si>
  <si>
    <t>Jebe Mae Que</t>
  </si>
  <si>
    <t>0962-9717-355</t>
  </si>
  <si>
    <t>0964-4833-326</t>
  </si>
  <si>
    <t>0960-052-4795</t>
  </si>
  <si>
    <t>0964-4887-346</t>
  </si>
  <si>
    <t>New Property Code</t>
  </si>
  <si>
    <t>AA.AT.001.01016</t>
  </si>
  <si>
    <t>AA.AT.001.00501</t>
  </si>
  <si>
    <t>AA.AT.001.01516</t>
  </si>
  <si>
    <t>AA.AT.001.00917</t>
  </si>
  <si>
    <t>AA.AT.001.00325</t>
  </si>
  <si>
    <t>AA.AT.002.01020</t>
  </si>
  <si>
    <t>AA.AS.002.00515</t>
  </si>
  <si>
    <t>AA.AT.002.00219</t>
  </si>
  <si>
    <t>AA.AT.004.00828</t>
  </si>
  <si>
    <t>AA.AT.003.00812</t>
  </si>
  <si>
    <t>AA.AT.002.00708</t>
  </si>
  <si>
    <t>AA.AS.002.00716</t>
  </si>
  <si>
    <t>AA.AT.003.00610</t>
  </si>
  <si>
    <t>AA.AT.002.00421</t>
  </si>
  <si>
    <t>AA.AS.001.00503</t>
  </si>
  <si>
    <t>AA.AT.002.00420</t>
  </si>
  <si>
    <t>AA.AT.002.01423</t>
  </si>
  <si>
    <t>AA.AS.001.00717</t>
  </si>
  <si>
    <t>AA.AT.002.00815</t>
  </si>
  <si>
    <t>AA.AT.002.00209</t>
  </si>
  <si>
    <t>AA.AT.002.01008</t>
  </si>
  <si>
    <t>AA.AT.002.01021</t>
  </si>
  <si>
    <t>AA.AS.001.00704</t>
  </si>
  <si>
    <t>AA.AT.003.00108</t>
  </si>
  <si>
    <t>AA.AT.002.00309</t>
  </si>
  <si>
    <t>AA.AT.002.00521</t>
  </si>
  <si>
    <t>AA.AT.002.00522</t>
  </si>
  <si>
    <t>AA.AT.004.00117</t>
  </si>
  <si>
    <t>AA.AS.002.00322</t>
  </si>
  <si>
    <t>AA.AT.003.00424</t>
  </si>
  <si>
    <t>AA.AT.003.00426</t>
  </si>
  <si>
    <t>AA.AT.003.00826</t>
  </si>
  <si>
    <t>AA.AT.002.01223</t>
  </si>
  <si>
    <t>AA.AS.001.00210</t>
  </si>
  <si>
    <t>AA.AS.002.00703</t>
  </si>
  <si>
    <t>AA.AT.001.00306</t>
  </si>
  <si>
    <t>AA.AS.002.00203</t>
  </si>
  <si>
    <t>AA.AT.003.01011</t>
  </si>
  <si>
    <t>AA.SH.0NW.0008C</t>
  </si>
  <si>
    <t>AA.OM.001.0008D</t>
  </si>
  <si>
    <t>AA.OM.003.0010O</t>
  </si>
  <si>
    <t>AA.SH.0SW.0005M</t>
  </si>
  <si>
    <t>AA.LP.000.0016T</t>
  </si>
  <si>
    <t>AA.SD.0SW.0009G</t>
  </si>
  <si>
    <t>AA.TP.0NW.0021B</t>
  </si>
  <si>
    <t>AA.TP.0NW.0010E</t>
  </si>
  <si>
    <t>AA.TP.0SW.0009E</t>
  </si>
  <si>
    <t>AA.LP.000.0004O</t>
  </si>
  <si>
    <t>AA.OM.002.0004P</t>
  </si>
  <si>
    <t>AA.OM.003.006HI</t>
  </si>
  <si>
    <t>AA.TP.0NW.0022C</t>
  </si>
  <si>
    <t>AA.LP.000.0010O</t>
  </si>
  <si>
    <t>AA.OM.001.0005B</t>
  </si>
  <si>
    <t>AA.LP.000.0009R</t>
  </si>
  <si>
    <t>AA.OM.001.0004E</t>
  </si>
  <si>
    <t>AA.OM.001.0009S</t>
  </si>
  <si>
    <t>AA.SH.0NW.0006A</t>
  </si>
  <si>
    <t>AA.LP.000.0008U</t>
  </si>
  <si>
    <t>AA.SD.0SW.0008C</t>
  </si>
  <si>
    <t>AA.LP.000.009PQ</t>
  </si>
  <si>
    <t>AA.LP.000.0008S</t>
  </si>
  <si>
    <t>AA.SH.0SW.0007G</t>
  </si>
  <si>
    <t>AA.OM.001.0009D</t>
  </si>
  <si>
    <t>AA.OM.003.0005M</t>
  </si>
  <si>
    <t>AA.SD.0SW.0003I</t>
  </si>
  <si>
    <t>AA.SD.0NW.0008B</t>
  </si>
  <si>
    <t>AA.OM.002.0004K</t>
  </si>
  <si>
    <t>AA.OM.003.0010E</t>
  </si>
  <si>
    <t>AA.SD.0SW.0003J</t>
  </si>
  <si>
    <t>AA.OM.003.0005G</t>
  </si>
  <si>
    <t>AA.SD.0NW.0005F</t>
  </si>
  <si>
    <t>AA.OM.001.0007U</t>
  </si>
  <si>
    <t>AA.OM.003.0010K</t>
  </si>
  <si>
    <t>AA.LP.000.0005E</t>
  </si>
  <si>
    <t>AA.SH.0NW.0005T</t>
  </si>
  <si>
    <t>AA.OM.002.0009L</t>
  </si>
  <si>
    <t>AA.BT.000.1222</t>
  </si>
  <si>
    <t>AA.PC.000.00511</t>
  </si>
  <si>
    <t>AA.PC.000.00512</t>
  </si>
  <si>
    <t>AA.OS.001.01014</t>
  </si>
  <si>
    <t>AA.OS.001.01327</t>
  </si>
  <si>
    <t>AA.OS.001.01718</t>
  </si>
  <si>
    <t>AA.SS.00A.01510</t>
  </si>
  <si>
    <t>AA.SS.00A.00215</t>
  </si>
  <si>
    <t>AA.SS.00B.00109</t>
  </si>
  <si>
    <t>AA.SS.00A.01425</t>
  </si>
  <si>
    <t>AA.SS.00A.01505</t>
  </si>
  <si>
    <t>AA.SS.00A.00509</t>
  </si>
  <si>
    <t>AA.SS.00A.01115</t>
  </si>
  <si>
    <t>AA.SS.00C.00208</t>
  </si>
  <si>
    <t>AA.SS.00A.01420</t>
  </si>
  <si>
    <t>AA.SS.00B.00624</t>
  </si>
  <si>
    <t>AA.WV.001.00519</t>
  </si>
  <si>
    <t>AA,WV,001,00824</t>
  </si>
  <si>
    <t>AA.WV.001.01003</t>
  </si>
  <si>
    <t>AA.WV.001.00813</t>
  </si>
  <si>
    <t>AA.WV.001.00816</t>
  </si>
  <si>
    <t>AA.WV.001.00820</t>
  </si>
  <si>
    <t>AA.WV.001.00821</t>
  </si>
  <si>
    <t>AA.WV.001.00818</t>
  </si>
  <si>
    <t>AA.WV.001.00817</t>
  </si>
  <si>
    <t>AA.WV.002.00914</t>
  </si>
  <si>
    <t>AA.WV.001.00720</t>
  </si>
  <si>
    <t>AA.WV.001.00805</t>
  </si>
  <si>
    <t>AA.WV.001.00717</t>
  </si>
  <si>
    <t>AA.WV.001.00718</t>
  </si>
  <si>
    <t>AA.WV.001.00715</t>
  </si>
  <si>
    <t>AA.WV.001.00705</t>
  </si>
  <si>
    <t>AA.WV.001.01005</t>
  </si>
  <si>
    <t>AA.WV.001.00802</t>
  </si>
  <si>
    <t>AA.WV.002.00501</t>
  </si>
  <si>
    <t>AA.WV.002.00824</t>
  </si>
  <si>
    <t>AA.WV.002.01007</t>
  </si>
  <si>
    <t>AA.WV.002.01013</t>
  </si>
  <si>
    <t>AA.WV.001.00508</t>
  </si>
  <si>
    <t>AA.WV.001.00511</t>
  </si>
  <si>
    <t>AA.WV.002.00513</t>
  </si>
  <si>
    <t>AA.WV.001.00516</t>
  </si>
  <si>
    <t>AA.WV.001.00616</t>
  </si>
  <si>
    <t>AA.WV.002.00701</t>
  </si>
  <si>
    <t>AA.WV.001.00614</t>
  </si>
  <si>
    <t>AA.WV.001.00606</t>
  </si>
  <si>
    <t>AA.WV.001.00615</t>
  </si>
  <si>
    <t>AA.WV.001.00617</t>
  </si>
  <si>
    <t>Old Property Code</t>
  </si>
  <si>
    <t>7 SD SW 9G</t>
  </si>
  <si>
    <t>17 OMP T1 5B</t>
  </si>
  <si>
    <t>27 OMP T1 9D</t>
  </si>
  <si>
    <t>31 OMP T2 4K</t>
  </si>
  <si>
    <t>34 SD SW 3J</t>
  </si>
  <si>
    <t>AA.WV.001.00824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</si>
</sst>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;\(#,##0.00\)"/>
    <numFmt numFmtId="165" formatCode="[$-409]d\-mmm"/>
  </numFmts>
  <fonts count="27" x14ac:knownFonts="1">
    <font>
      <sz val="11"/>
      <color theme="1"/>
      <name val="Calibri"/>
      <scheme val="minor"/>
    </font>
    <font>
      <b/>
      <sz val="9"/>
      <color rgb="FF000000"/>
      <name val="Arial"/>
      <family val="2"/>
    </font>
    <font>
      <b/>
      <sz val="10"/>
      <color rgb="FF000000"/>
      <name val="Aptos Narrow"/>
      <family val="2"/>
    </font>
    <font>
      <b/>
      <sz val="9"/>
      <color rgb="FF000000"/>
      <name val="Aptos Narrow"/>
      <family val="2"/>
    </font>
    <font>
      <b/>
      <sz val="9"/>
      <color theme="1"/>
      <name val="Calibri"/>
      <family val="2"/>
    </font>
    <font>
      <b/>
      <sz val="10"/>
      <color theme="1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  <fill>
      <patternFill patternType="solid">
        <fgColor rgb="FF0070C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rgb="FFFF006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4" fillId="0" borderId="0" applyFont="0" applyFill="0" applyBorder="0" applyAlignment="0" applyProtection="0"/>
  </cellStyleXfs>
  <cellXfs count="19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/>
    <xf numFmtId="43" fontId="10" fillId="0" borderId="0" xfId="0" applyNumberFormat="1" applyFont="1"/>
    <xf numFmtId="43" fontId="11" fillId="0" borderId="0" xfId="0" applyNumberFormat="1" applyFont="1"/>
    <xf numFmtId="43" fontId="0" fillId="0" borderId="0" xfId="1" applyFont="1"/>
    <xf numFmtId="43" fontId="0" fillId="0" borderId="0" xfId="0" applyNumberFormat="1"/>
    <xf numFmtId="0" fontId="8" fillId="0" borderId="3" xfId="0" applyFont="1" applyBorder="1" applyAlignment="1">
      <alignment horizontal="center"/>
    </xf>
    <xf numFmtId="0" fontId="0" fillId="0" borderId="0" xfId="0" applyAlignment="1">
      <alignment horizontal="right"/>
    </xf>
    <xf numFmtId="0" fontId="9" fillId="0" borderId="3" xfId="0" applyFont="1" applyBorder="1" applyAlignment="1">
      <alignment horizontal="center"/>
    </xf>
    <xf numFmtId="43" fontId="9" fillId="0" borderId="3" xfId="0" applyNumberFormat="1" applyFont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7" fillId="0" borderId="3" xfId="0" applyFont="1" applyBorder="1" applyAlignment="1">
      <alignment horizontal="center"/>
    </xf>
    <xf numFmtId="43" fontId="9" fillId="0" borderId="7" xfId="0" applyNumberFormat="1" applyFont="1" applyBorder="1" applyAlignment="1">
      <alignment horizontal="center"/>
    </xf>
    <xf numFmtId="14" fontId="9" fillId="0" borderId="7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9" fillId="0" borderId="5" xfId="0" applyFont="1" applyBorder="1" applyAlignment="1">
      <alignment horizontal="center"/>
    </xf>
    <xf numFmtId="14" fontId="9" fillId="0" borderId="9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43" fontId="9" fillId="0" borderId="12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43" fontId="9" fillId="0" borderId="11" xfId="0" applyNumberFormat="1" applyFont="1" applyBorder="1" applyAlignment="1">
      <alignment horizontal="right"/>
    </xf>
    <xf numFmtId="43" fontId="9" fillId="0" borderId="5" xfId="0" applyNumberFormat="1" applyFont="1" applyBorder="1" applyAlignment="1">
      <alignment horizontal="right"/>
    </xf>
    <xf numFmtId="43" fontId="4" fillId="0" borderId="14" xfId="0" applyNumberFormat="1" applyFont="1" applyBorder="1" applyAlignment="1">
      <alignment horizontal="right" vertical="center" wrapText="1"/>
    </xf>
    <xf numFmtId="43" fontId="4" fillId="0" borderId="15" xfId="0" applyNumberFormat="1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7" fillId="0" borderId="0" xfId="0" applyFont="1"/>
    <xf numFmtId="0" fontId="18" fillId="0" borderId="0" xfId="0" applyFont="1"/>
    <xf numFmtId="0" fontId="18" fillId="11" borderId="3" xfId="0" applyFont="1" applyFill="1" applyBorder="1" applyAlignment="1">
      <alignment horizontal="center"/>
    </xf>
    <xf numFmtId="0" fontId="0" fillId="0" borderId="4" xfId="0" applyBorder="1"/>
    <xf numFmtId="0" fontId="23" fillId="0" borderId="3" xfId="0" applyFont="1" applyBorder="1" applyAlignment="1">
      <alignment horizontal="center"/>
    </xf>
    <xf numFmtId="0" fontId="10" fillId="5" borderId="3" xfId="0" applyFont="1" applyFill="1" applyBorder="1" applyAlignment="1">
      <alignment horizontal="center"/>
    </xf>
    <xf numFmtId="0" fontId="24" fillId="0" borderId="3" xfId="0" applyFont="1" applyBorder="1" applyAlignment="1">
      <alignment horizontal="center"/>
    </xf>
    <xf numFmtId="43" fontId="24" fillId="0" borderId="3" xfId="1" applyFont="1" applyBorder="1" applyAlignment="1">
      <alignment horizontal="center"/>
    </xf>
    <xf numFmtId="43" fontId="24" fillId="0" borderId="3" xfId="0" applyNumberFormat="1" applyFont="1" applyBorder="1" applyAlignment="1">
      <alignment vertical="center"/>
    </xf>
    <xf numFmtId="1" fontId="24" fillId="0" borderId="3" xfId="0" applyNumberFormat="1" applyFont="1" applyBorder="1" applyAlignment="1">
      <alignment horizontal="center"/>
    </xf>
    <xf numFmtId="43" fontId="24" fillId="0" borderId="3" xfId="0" applyNumberFormat="1" applyFont="1" applyBorder="1" applyAlignment="1">
      <alignment horizontal="center"/>
    </xf>
    <xf numFmtId="14" fontId="24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3" fontId="24" fillId="0" borderId="3" xfId="0" applyNumberFormat="1" applyFont="1" applyBorder="1" applyAlignment="1">
      <alignment horizontal="right"/>
    </xf>
    <xf numFmtId="0" fontId="24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43" fontId="24" fillId="8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24" fillId="9" borderId="3" xfId="0" applyFont="1" applyFill="1" applyBorder="1" applyAlignment="1">
      <alignment horizontal="center"/>
    </xf>
    <xf numFmtId="1" fontId="24" fillId="9" borderId="3" xfId="0" applyNumberFormat="1" applyFont="1" applyFill="1" applyBorder="1" applyAlignment="1">
      <alignment horizontal="center"/>
    </xf>
    <xf numFmtId="14" fontId="24" fillId="9" borderId="3" xfId="0" applyNumberFormat="1" applyFont="1" applyFill="1" applyBorder="1" applyAlignment="1">
      <alignment horizontal="center"/>
    </xf>
    <xf numFmtId="0" fontId="10" fillId="12" borderId="3" xfId="0" applyFont="1" applyFill="1" applyBorder="1" applyAlignment="1">
      <alignment horizontal="center"/>
    </xf>
    <xf numFmtId="14" fontId="24" fillId="12" borderId="3" xfId="0" applyNumberFormat="1" applyFont="1" applyFill="1" applyBorder="1" applyAlignment="1">
      <alignment horizontal="center"/>
    </xf>
    <xf numFmtId="4" fontId="24" fillId="0" borderId="3" xfId="0" applyNumberFormat="1" applyFont="1" applyBorder="1" applyAlignment="1">
      <alignment horizontal="center"/>
    </xf>
    <xf numFmtId="4" fontId="24" fillId="0" borderId="3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horizontal="right"/>
    </xf>
    <xf numFmtId="43" fontId="24" fillId="0" borderId="3" xfId="0" applyNumberFormat="1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4" fontId="24" fillId="0" borderId="3" xfId="0" applyNumberFormat="1" applyFont="1" applyBorder="1" applyAlignment="1">
      <alignment vertical="center"/>
    </xf>
    <xf numFmtId="1" fontId="10" fillId="0" borderId="3" xfId="0" applyNumberFormat="1" applyFont="1" applyBorder="1" applyAlignment="1">
      <alignment horizontal="center"/>
    </xf>
    <xf numFmtId="43" fontId="10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0" fillId="9" borderId="3" xfId="0" applyFont="1" applyFill="1" applyBorder="1" applyAlignment="1">
      <alignment horizontal="center"/>
    </xf>
    <xf numFmtId="1" fontId="24" fillId="0" borderId="3" xfId="0" quotePrefix="1" applyNumberFormat="1" applyFont="1" applyBorder="1" applyAlignment="1">
      <alignment horizontal="center"/>
    </xf>
    <xf numFmtId="0" fontId="18" fillId="10" borderId="3" xfId="0" applyFont="1" applyFill="1" applyBorder="1" applyAlignment="1">
      <alignment horizontal="center"/>
    </xf>
    <xf numFmtId="0" fontId="24" fillId="0" borderId="3" xfId="0" applyFont="1" applyBorder="1" applyAlignment="1">
      <alignment horizontal="left"/>
    </xf>
    <xf numFmtId="43" fontId="24" fillId="0" borderId="3" xfId="0" applyNumberFormat="1" applyFont="1" applyBorder="1" applyAlignment="1">
      <alignment horizontal="left"/>
    </xf>
    <xf numFmtId="43" fontId="10" fillId="0" borderId="3" xfId="1" applyFont="1" applyBorder="1" applyAlignment="1">
      <alignment horizontal="center"/>
    </xf>
    <xf numFmtId="43" fontId="10" fillId="0" borderId="3" xfId="0" applyNumberFormat="1" applyFont="1" applyBorder="1" applyAlignment="1">
      <alignment vertical="center"/>
    </xf>
    <xf numFmtId="1" fontId="25" fillId="0" borderId="3" xfId="0" applyNumberFormat="1" applyFont="1" applyBorder="1" applyAlignment="1">
      <alignment horizontal="center"/>
    </xf>
    <xf numFmtId="43" fontId="24" fillId="5" borderId="3" xfId="0" applyNumberFormat="1" applyFont="1" applyFill="1" applyBorder="1" applyAlignment="1">
      <alignment horizontal="center"/>
    </xf>
    <xf numFmtId="43" fontId="18" fillId="0" borderId="3" xfId="0" applyNumberFormat="1" applyFont="1" applyBorder="1" applyAlignment="1">
      <alignment horizontal="center"/>
    </xf>
    <xf numFmtId="43" fontId="18" fillId="0" borderId="3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43" fontId="10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14" fontId="24" fillId="0" borderId="5" xfId="0" applyNumberFormat="1" applyFont="1" applyBorder="1" applyAlignment="1">
      <alignment horizontal="center"/>
    </xf>
    <xf numFmtId="14" fontId="10" fillId="0" borderId="5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43" fontId="18" fillId="0" borderId="0" xfId="1" applyFont="1" applyAlignment="1">
      <alignment horizontal="center"/>
    </xf>
    <xf numFmtId="164" fontId="18" fillId="0" borderId="0" xfId="0" applyNumberFormat="1" applyFont="1" applyAlignment="1">
      <alignment vertical="center"/>
    </xf>
    <xf numFmtId="0" fontId="25" fillId="0" borderId="0" xfId="0" applyFont="1" applyAlignment="1">
      <alignment horizontal="center"/>
    </xf>
    <xf numFmtId="1" fontId="26" fillId="0" borderId="0" xfId="0" applyNumberFormat="1" applyFont="1" applyAlignment="1">
      <alignment horizontal="center"/>
    </xf>
    <xf numFmtId="43" fontId="26" fillId="0" borderId="0" xfId="0" applyNumberFormat="1" applyFont="1" applyAlignment="1">
      <alignment horizontal="center"/>
    </xf>
    <xf numFmtId="14" fontId="25" fillId="0" borderId="0" xfId="0" applyNumberFormat="1" applyFont="1" applyAlignment="1">
      <alignment horizontal="center"/>
    </xf>
    <xf numFmtId="14" fontId="26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26" fillId="0" borderId="0" xfId="0" applyNumberFormat="1" applyFont="1" applyAlignment="1">
      <alignment horizontal="right"/>
    </xf>
    <xf numFmtId="14" fontId="24" fillId="0" borderId="0" xfId="0" applyNumberFormat="1" applyFont="1" applyAlignment="1">
      <alignment horizontal="center"/>
    </xf>
    <xf numFmtId="1" fontId="24" fillId="0" borderId="2" xfId="0" applyNumberFormat="1" applyFont="1" applyBorder="1" applyAlignment="1">
      <alignment horizontal="center"/>
    </xf>
    <xf numFmtId="43" fontId="19" fillId="0" borderId="0" xfId="0" applyNumberFormat="1" applyFont="1" applyAlignment="1">
      <alignment horizontal="right"/>
    </xf>
    <xf numFmtId="43" fontId="19" fillId="0" borderId="0" xfId="0" applyNumberFormat="1" applyFont="1" applyAlignment="1">
      <alignment horizontal="center"/>
    </xf>
    <xf numFmtId="43" fontId="25" fillId="0" borderId="0" xfId="0" applyNumberFormat="1" applyFont="1" applyAlignment="1">
      <alignment horizontal="center"/>
    </xf>
    <xf numFmtId="43" fontId="26" fillId="0" borderId="0" xfId="1" applyFont="1" applyAlignment="1">
      <alignment horizontal="center"/>
    </xf>
    <xf numFmtId="0" fontId="26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26" fillId="0" borderId="0" xfId="0" applyFont="1"/>
    <xf numFmtId="0" fontId="26" fillId="0" borderId="0" xfId="0" applyFont="1" applyAlignment="1">
      <alignment horizontal="right"/>
    </xf>
    <xf numFmtId="0" fontId="24" fillId="0" borderId="3" xfId="0" applyFont="1" applyBorder="1" applyAlignment="1">
      <alignment horizontal="left" wrapText="1"/>
    </xf>
    <xf numFmtId="0" fontId="24" fillId="0" borderId="0" xfId="0" applyFont="1" applyAlignment="1">
      <alignment horizontal="left"/>
    </xf>
    <xf numFmtId="43" fontId="25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10" fillId="13" borderId="3" xfId="0" applyFont="1" applyFill="1" applyBorder="1" applyAlignment="1">
      <alignment horizontal="center"/>
    </xf>
    <xf numFmtId="1" fontId="24" fillId="13" borderId="3" xfId="0" applyNumberFormat="1" applyFont="1" applyFill="1" applyBorder="1" applyAlignment="1">
      <alignment horizontal="center"/>
    </xf>
    <xf numFmtId="14" fontId="24" fillId="13" borderId="3" xfId="0" applyNumberFormat="1" applyFont="1" applyFill="1" applyBorder="1" applyAlignment="1">
      <alignment horizontal="center"/>
    </xf>
    <xf numFmtId="0" fontId="23" fillId="0" borderId="3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23" fillId="14" borderId="3" xfId="0" applyFont="1" applyFill="1" applyBorder="1" applyAlignment="1">
      <alignment horizontal="left"/>
    </xf>
    <xf numFmtId="0" fontId="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43" fontId="1" fillId="0" borderId="17" xfId="1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43" fontId="1" fillId="0" borderId="17" xfId="0" applyNumberFormat="1" applyFont="1" applyBorder="1" applyAlignment="1">
      <alignment horizontal="center" vertical="center" wrapText="1"/>
    </xf>
    <xf numFmtId="165" fontId="1" fillId="0" borderId="17" xfId="0" applyNumberFormat="1" applyFont="1" applyBorder="1" applyAlignment="1">
      <alignment horizontal="center" vertical="center" wrapText="1"/>
    </xf>
    <xf numFmtId="1" fontId="11" fillId="0" borderId="19" xfId="0" applyNumberFormat="1" applyFont="1" applyBorder="1" applyAlignment="1">
      <alignment horizontal="center" vertical="center" wrapText="1"/>
    </xf>
    <xf numFmtId="43" fontId="19" fillId="0" borderId="20" xfId="0" applyNumberFormat="1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 wrapText="1"/>
    </xf>
    <xf numFmtId="43" fontId="20" fillId="0" borderId="20" xfId="0" applyNumberFormat="1" applyFont="1" applyBorder="1" applyAlignment="1">
      <alignment horizontal="center" vertical="center"/>
    </xf>
    <xf numFmtId="43" fontId="21" fillId="0" borderId="20" xfId="0" applyNumberFormat="1" applyFont="1" applyBorder="1" applyAlignment="1">
      <alignment horizontal="right" vertical="center"/>
    </xf>
    <xf numFmtId="0" fontId="15" fillId="0" borderId="21" xfId="0" applyFont="1" applyBorder="1" applyAlignment="1">
      <alignment horizontal="center" vertical="center" wrapText="1"/>
    </xf>
    <xf numFmtId="43" fontId="1" fillId="0" borderId="19" xfId="0" applyNumberFormat="1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11" fillId="0" borderId="23" xfId="0" applyFont="1" applyBorder="1" applyAlignment="1">
      <alignment horizontal="left"/>
    </xf>
    <xf numFmtId="43" fontId="24" fillId="0" borderId="23" xfId="0" applyNumberFormat="1" applyFont="1" applyBorder="1" applyAlignment="1">
      <alignment horizontal="left"/>
    </xf>
    <xf numFmtId="43" fontId="10" fillId="0" borderId="23" xfId="0" applyNumberFormat="1" applyFont="1" applyBorder="1" applyAlignment="1">
      <alignment horizontal="center"/>
    </xf>
    <xf numFmtId="43" fontId="22" fillId="0" borderId="23" xfId="1" applyFont="1" applyBorder="1" applyAlignment="1">
      <alignment horizontal="center"/>
    </xf>
    <xf numFmtId="43" fontId="22" fillId="0" borderId="23" xfId="0" applyNumberFormat="1" applyFont="1" applyBorder="1" applyAlignment="1">
      <alignment vertical="center"/>
    </xf>
    <xf numFmtId="43" fontId="24" fillId="0" borderId="23" xfId="0" applyNumberFormat="1" applyFont="1" applyBorder="1" applyAlignment="1">
      <alignment horizontal="center"/>
    </xf>
    <xf numFmtId="1" fontId="10" fillId="0" borderId="23" xfId="0" applyNumberFormat="1" applyFont="1" applyBorder="1" applyAlignment="1">
      <alignment horizontal="center"/>
    </xf>
    <xf numFmtId="43" fontId="22" fillId="0" borderId="23" xfId="0" applyNumberFormat="1" applyFont="1" applyBorder="1" applyAlignment="1">
      <alignment horizontal="center"/>
    </xf>
    <xf numFmtId="14" fontId="24" fillId="0" borderId="23" xfId="0" applyNumberFormat="1" applyFont="1" applyBorder="1" applyAlignment="1">
      <alignment horizontal="center"/>
    </xf>
    <xf numFmtId="1" fontId="11" fillId="0" borderId="23" xfId="0" applyNumberFormat="1" applyFont="1" applyBorder="1" applyAlignment="1">
      <alignment horizontal="center"/>
    </xf>
    <xf numFmtId="14" fontId="10" fillId="0" borderId="23" xfId="0" applyNumberFormat="1" applyFont="1" applyBorder="1" applyAlignment="1">
      <alignment horizontal="center"/>
    </xf>
    <xf numFmtId="43" fontId="22" fillId="0" borderId="23" xfId="0" applyNumberFormat="1" applyFont="1" applyBorder="1" applyAlignment="1">
      <alignment horizontal="right"/>
    </xf>
    <xf numFmtId="0" fontId="23" fillId="0" borderId="24" xfId="0" applyFont="1" applyBorder="1" applyAlignment="1">
      <alignment horizontal="center"/>
    </xf>
    <xf numFmtId="0" fontId="10" fillId="5" borderId="25" xfId="0" applyFont="1" applyFill="1" applyBorder="1" applyAlignment="1">
      <alignment horizontal="center"/>
    </xf>
    <xf numFmtId="0" fontId="23" fillId="0" borderId="25" xfId="0" applyFont="1" applyBorder="1" applyAlignment="1">
      <alignment horizontal="left"/>
    </xf>
    <xf numFmtId="0" fontId="24" fillId="0" borderId="25" xfId="0" applyFont="1" applyBorder="1" applyAlignment="1">
      <alignment horizontal="left"/>
    </xf>
    <xf numFmtId="0" fontId="24" fillId="0" borderId="25" xfId="0" applyFont="1" applyBorder="1" applyAlignment="1">
      <alignment horizontal="center"/>
    </xf>
    <xf numFmtId="43" fontId="24" fillId="0" borderId="25" xfId="1" applyFont="1" applyBorder="1" applyAlignment="1">
      <alignment horizontal="center"/>
    </xf>
    <xf numFmtId="43" fontId="24" fillId="0" borderId="25" xfId="0" applyNumberFormat="1" applyFont="1" applyBorder="1" applyAlignment="1">
      <alignment vertical="center"/>
    </xf>
    <xf numFmtId="1" fontId="24" fillId="0" borderId="25" xfId="0" applyNumberFormat="1" applyFont="1" applyBorder="1" applyAlignment="1">
      <alignment horizontal="center"/>
    </xf>
    <xf numFmtId="43" fontId="24" fillId="0" borderId="25" xfId="0" applyNumberFormat="1" applyFont="1" applyBorder="1" applyAlignment="1">
      <alignment horizontal="center"/>
    </xf>
    <xf numFmtId="14" fontId="24" fillId="0" borderId="25" xfId="0" applyNumberFormat="1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43" fontId="24" fillId="0" borderId="25" xfId="0" applyNumberFormat="1" applyFont="1" applyBorder="1" applyAlignment="1">
      <alignment horizontal="right"/>
    </xf>
    <xf numFmtId="9" fontId="10" fillId="0" borderId="26" xfId="0" applyNumberFormat="1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0" fontId="23" fillId="9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23" fillId="10" borderId="6" xfId="0" applyFont="1" applyFill="1" applyBorder="1" applyAlignment="1">
      <alignment horizontal="center"/>
    </xf>
    <xf numFmtId="0" fontId="23" fillId="11" borderId="6" xfId="0" applyFont="1" applyFill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22" fillId="0" borderId="0" xfId="0" applyFont="1" applyBorder="1"/>
    <xf numFmtId="0" fontId="10" fillId="0" borderId="7" xfId="0" applyFont="1" applyBorder="1" applyAlignment="1">
      <alignment horizontal="left"/>
    </xf>
    <xf numFmtId="0" fontId="18" fillId="0" borderId="0" xfId="0" applyFont="1" applyBorder="1"/>
    <xf numFmtId="0" fontId="23" fillId="13" borderId="6" xfId="0" applyFont="1" applyFill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3" fillId="0" borderId="5" xfId="0" applyFont="1" applyBorder="1" applyAlignment="1">
      <alignment horizontal="left"/>
    </xf>
    <xf numFmtId="0" fontId="24" fillId="0" borderId="5" xfId="0" applyFont="1" applyBorder="1" applyAlignment="1">
      <alignment horizontal="left"/>
    </xf>
    <xf numFmtId="43" fontId="18" fillId="0" borderId="5" xfId="0" applyNumberFormat="1" applyFont="1" applyBorder="1" applyAlignment="1">
      <alignment horizontal="center"/>
    </xf>
    <xf numFmtId="43" fontId="18" fillId="0" borderId="5" xfId="0" applyNumberFormat="1" applyFont="1" applyBorder="1" applyAlignment="1">
      <alignment horizontal="center" vertical="center"/>
    </xf>
    <xf numFmtId="0" fontId="24" fillId="0" borderId="5" xfId="0" applyFont="1" applyBorder="1" applyAlignment="1">
      <alignment horizontal="center"/>
    </xf>
    <xf numFmtId="43" fontId="24" fillId="0" borderId="5" xfId="0" applyNumberFormat="1" applyFont="1" applyBorder="1" applyAlignment="1">
      <alignment horizontal="right"/>
    </xf>
    <xf numFmtId="0" fontId="10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45">
    <dxf>
      <numFmt numFmtId="166" formatCode="&quot;Due&quot;"/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numFmt numFmtId="166" formatCode="&quot;Due&quot;"/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R947"/>
  <sheetViews>
    <sheetView tabSelected="1" zoomScale="90" zoomScaleNormal="90" workbookViewId="0">
      <pane xSplit="5" ySplit="2" topLeftCell="F64" activePane="bottomRight" state="frozen"/>
      <selection pane="topRight" activeCell="E1" sqref="E1"/>
      <selection pane="bottomLeft" activeCell="A2" sqref="A2"/>
      <selection pane="bottomRight" activeCell="AD152" sqref="AD152"/>
    </sheetView>
  </sheetViews>
  <sheetFormatPr defaultColWidth="14.42578125" defaultRowHeight="15" customHeight="1" x14ac:dyDescent="0.25"/>
  <cols>
    <col min="1" max="1" width="16.85546875" style="95" bestFit="1" customWidth="1"/>
    <col min="2" max="2" width="19.140625" style="95" bestFit="1" customWidth="1"/>
    <col min="3" max="3" width="22" style="119" customWidth="1"/>
    <col min="4" max="4" width="28" style="119" customWidth="1"/>
    <col min="5" max="5" width="13.42578125" style="95" customWidth="1"/>
    <col min="6" max="6" width="15.7109375" style="110" customWidth="1"/>
    <col min="7" max="7" width="16.28515625" style="113" customWidth="1"/>
    <col min="8" max="8" width="24.28515625" style="95" customWidth="1"/>
    <col min="9" max="9" width="20.28515625" style="95" bestFit="1" customWidth="1"/>
    <col min="10" max="10" width="17.85546875" style="95" customWidth="1"/>
    <col min="11" max="11" width="11.28515625" style="95" customWidth="1"/>
    <col min="12" max="12" width="18.42578125" style="95" customWidth="1"/>
    <col min="13" max="13" width="14.140625" style="95" customWidth="1"/>
    <col min="14" max="14" width="18.42578125" style="95" customWidth="1"/>
    <col min="15" max="16" width="12.7109375" style="95" customWidth="1"/>
    <col min="17" max="17" width="21.85546875" style="95" customWidth="1"/>
    <col min="18" max="18" width="24" style="95" customWidth="1"/>
    <col min="19" max="20" width="12.7109375" style="95" customWidth="1"/>
    <col min="21" max="21" width="17" style="95" customWidth="1"/>
    <col min="22" max="22" width="16.140625" style="95" customWidth="1"/>
    <col min="23" max="23" width="12.7109375" style="95" customWidth="1"/>
    <col min="24" max="24" width="26.28515625" style="114" customWidth="1"/>
    <col min="25" max="25" width="12.7109375" style="95" customWidth="1"/>
    <col min="26" max="26" width="16" style="95" customWidth="1"/>
    <col min="27" max="27" width="12.7109375" style="95" customWidth="1"/>
    <col min="28" max="48" width="12.5703125" customWidth="1"/>
  </cols>
  <sheetData>
    <row r="1" spans="1:1006" ht="15" customHeight="1" thickBot="1" x14ac:dyDescent="0.3">
      <c r="J1" s="110">
        <f>SUBTOTAL(9,J3:J159)</f>
        <v>336242.5</v>
      </c>
      <c r="K1" s="100">
        <f>-J31+J1</f>
        <v>334836.5</v>
      </c>
      <c r="N1" s="110">
        <f>SUBTOTAL(9,N3:N159)</f>
        <v>78205.550000000017</v>
      </c>
      <c r="O1" s="100">
        <f>-N31+N1</f>
        <v>77405.550000000017</v>
      </c>
      <c r="R1" s="110">
        <f>SUBTOTAL(9,R3:R159)</f>
        <v>400395.56967741932</v>
      </c>
      <c r="S1" s="100">
        <f>-R31+R1</f>
        <v>392258.9896774193</v>
      </c>
      <c r="U1" s="110">
        <f>SUBTOTAL(9,U3:U159)</f>
        <v>863502.06999999983</v>
      </c>
      <c r="V1" s="100" t="e">
        <f>-U31+U1</f>
        <v>#VALUE!</v>
      </c>
    </row>
    <row r="2" spans="1:1006" ht="36.75" thickBot="1" x14ac:dyDescent="0.3">
      <c r="A2" s="126" t="s">
        <v>0</v>
      </c>
      <c r="B2" s="127" t="s">
        <v>1</v>
      </c>
      <c r="C2" s="128"/>
      <c r="D2" s="129" t="s">
        <v>2</v>
      </c>
      <c r="E2" s="130" t="s">
        <v>3</v>
      </c>
      <c r="F2" s="131" t="s">
        <v>4</v>
      </c>
      <c r="G2" s="132" t="s">
        <v>5</v>
      </c>
      <c r="H2" s="130" t="s">
        <v>6</v>
      </c>
      <c r="I2" s="133" t="s">
        <v>7</v>
      </c>
      <c r="J2" s="134" t="s">
        <v>8</v>
      </c>
      <c r="K2" s="135" t="s">
        <v>9</v>
      </c>
      <c r="L2" s="130" t="s">
        <v>10</v>
      </c>
      <c r="M2" s="136" t="s">
        <v>11</v>
      </c>
      <c r="N2" s="137" t="s">
        <v>12</v>
      </c>
      <c r="O2" s="138" t="s">
        <v>13</v>
      </c>
      <c r="P2" s="130" t="s">
        <v>14</v>
      </c>
      <c r="Q2" s="127" t="s">
        <v>15</v>
      </c>
      <c r="R2" s="137" t="s">
        <v>16</v>
      </c>
      <c r="S2" s="135" t="s">
        <v>17</v>
      </c>
      <c r="T2" s="130" t="s">
        <v>18</v>
      </c>
      <c r="U2" s="139" t="s">
        <v>19</v>
      </c>
      <c r="V2" s="139" t="s">
        <v>20</v>
      </c>
      <c r="W2" s="130" t="s">
        <v>21</v>
      </c>
      <c r="X2" s="140" t="s">
        <v>22</v>
      </c>
      <c r="Y2" s="141" t="s">
        <v>23</v>
      </c>
      <c r="Z2" s="142" t="s">
        <v>24</v>
      </c>
      <c r="AA2" s="143" t="s">
        <v>25</v>
      </c>
      <c r="AB2" s="1" t="s">
        <v>26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</row>
    <row r="3" spans="1:1006" x14ac:dyDescent="0.25">
      <c r="A3" s="158" t="s">
        <v>27</v>
      </c>
      <c r="B3" s="159" t="s">
        <v>28</v>
      </c>
      <c r="C3" s="160" t="s">
        <v>552</v>
      </c>
      <c r="D3" s="161" t="s">
        <v>29</v>
      </c>
      <c r="E3" s="162" t="s">
        <v>30</v>
      </c>
      <c r="F3" s="163">
        <v>17500</v>
      </c>
      <c r="G3" s="164">
        <v>17500</v>
      </c>
      <c r="H3" s="162" t="s">
        <v>31</v>
      </c>
      <c r="I3" s="165">
        <v>932711958</v>
      </c>
      <c r="J3" s="166">
        <f>1299+7</f>
        <v>1306</v>
      </c>
      <c r="K3" s="167">
        <v>46048</v>
      </c>
      <c r="L3" s="162" t="s">
        <v>32</v>
      </c>
      <c r="M3" s="168">
        <v>5000200108</v>
      </c>
      <c r="N3" s="166">
        <v>480</v>
      </c>
      <c r="O3" s="167">
        <v>46049</v>
      </c>
      <c r="P3" s="162" t="s">
        <v>32</v>
      </c>
      <c r="Q3" s="168" t="s">
        <v>33</v>
      </c>
      <c r="R3" s="166">
        <v>3407.23</v>
      </c>
      <c r="S3" s="167">
        <v>46054</v>
      </c>
      <c r="T3" s="162" t="s">
        <v>32</v>
      </c>
      <c r="U3" s="166" t="s">
        <v>34</v>
      </c>
      <c r="V3" s="166" t="s">
        <v>34</v>
      </c>
      <c r="W3" s="162" t="s">
        <v>34</v>
      </c>
      <c r="X3" s="169">
        <v>0</v>
      </c>
      <c r="Y3" s="162" t="s">
        <v>34</v>
      </c>
      <c r="Z3" s="166"/>
      <c r="AA3" s="170" t="s">
        <v>35</v>
      </c>
      <c r="AB3" s="4"/>
      <c r="AC3" s="4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</row>
    <row r="4" spans="1:1006" x14ac:dyDescent="0.25">
      <c r="A4" s="171" t="s">
        <v>27</v>
      </c>
      <c r="B4" s="55" t="s">
        <v>36</v>
      </c>
      <c r="C4" s="123" t="s">
        <v>566</v>
      </c>
      <c r="D4" s="81" t="s">
        <v>37</v>
      </c>
      <c r="E4" s="49" t="s">
        <v>38</v>
      </c>
      <c r="F4" s="49" t="s">
        <v>34</v>
      </c>
      <c r="G4" s="57" t="s">
        <v>34</v>
      </c>
      <c r="H4" s="49" t="s">
        <v>31</v>
      </c>
      <c r="I4" s="52">
        <v>932459748</v>
      </c>
      <c r="J4" s="53">
        <f>1299+7</f>
        <v>1306</v>
      </c>
      <c r="K4" s="54">
        <v>46027</v>
      </c>
      <c r="L4" s="49" t="s">
        <v>32</v>
      </c>
      <c r="M4" s="55">
        <v>5000301011</v>
      </c>
      <c r="N4" s="53">
        <v>480</v>
      </c>
      <c r="O4" s="54">
        <v>46049</v>
      </c>
      <c r="P4" s="49" t="s">
        <v>32</v>
      </c>
      <c r="Q4" s="58" t="s">
        <v>39</v>
      </c>
      <c r="R4" s="53">
        <v>3748.67</v>
      </c>
      <c r="S4" s="54">
        <v>46054</v>
      </c>
      <c r="T4" s="49" t="s">
        <v>32</v>
      </c>
      <c r="U4" s="53">
        <v>2633.5</v>
      </c>
      <c r="V4" s="54">
        <v>46049</v>
      </c>
      <c r="W4" s="49" t="s">
        <v>32</v>
      </c>
      <c r="X4" s="56">
        <v>0</v>
      </c>
      <c r="Y4" s="49" t="s">
        <v>34</v>
      </c>
      <c r="Z4" s="53"/>
      <c r="AA4" s="172" t="s">
        <v>40</v>
      </c>
      <c r="AB4" s="4"/>
      <c r="AC4" s="4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</row>
    <row r="5" spans="1:1006" x14ac:dyDescent="0.25">
      <c r="A5" s="171" t="s">
        <v>27</v>
      </c>
      <c r="B5" s="55" t="s">
        <v>460</v>
      </c>
      <c r="C5" s="123" t="s">
        <v>529</v>
      </c>
      <c r="D5" s="81" t="s">
        <v>199</v>
      </c>
      <c r="E5" s="49" t="s">
        <v>38</v>
      </c>
      <c r="F5" s="49" t="s">
        <v>34</v>
      </c>
      <c r="G5" s="57" t="s">
        <v>34</v>
      </c>
      <c r="H5" s="49" t="s">
        <v>456</v>
      </c>
      <c r="I5" s="52" t="s">
        <v>407</v>
      </c>
      <c r="J5" s="53">
        <f>1299+3</f>
        <v>1302</v>
      </c>
      <c r="K5" s="54">
        <v>46044</v>
      </c>
      <c r="L5" s="49" t="s">
        <v>32</v>
      </c>
      <c r="M5" s="55">
        <v>5000101016</v>
      </c>
      <c r="N5" s="53">
        <v>480</v>
      </c>
      <c r="O5" s="54">
        <v>46049</v>
      </c>
      <c r="P5" s="49" t="s">
        <v>32</v>
      </c>
      <c r="Q5" s="58" t="s">
        <v>435</v>
      </c>
      <c r="R5" s="53">
        <v>2332.38</v>
      </c>
      <c r="S5" s="54">
        <v>46054</v>
      </c>
      <c r="T5" s="49" t="s">
        <v>32</v>
      </c>
      <c r="U5" s="53">
        <v>2576</v>
      </c>
      <c r="V5" s="54">
        <v>46049</v>
      </c>
      <c r="W5" s="49" t="s">
        <v>32</v>
      </c>
      <c r="X5" s="56">
        <v>0</v>
      </c>
      <c r="Y5" s="49" t="s">
        <v>34</v>
      </c>
      <c r="Z5" s="53"/>
      <c r="AA5" s="172"/>
      <c r="AB5" s="4"/>
      <c r="AC5" s="4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</row>
    <row r="6" spans="1:1006" x14ac:dyDescent="0.25">
      <c r="A6" s="171" t="s">
        <v>27</v>
      </c>
      <c r="B6" s="55" t="s">
        <v>459</v>
      </c>
      <c r="C6" s="123" t="s">
        <v>531</v>
      </c>
      <c r="D6" s="81" t="s">
        <v>199</v>
      </c>
      <c r="E6" s="49" t="s">
        <v>38</v>
      </c>
      <c r="F6" s="49" t="s">
        <v>34</v>
      </c>
      <c r="G6" s="57" t="s">
        <v>34</v>
      </c>
      <c r="H6" s="49" t="s">
        <v>456</v>
      </c>
      <c r="I6" s="52" t="s">
        <v>408</v>
      </c>
      <c r="J6" s="53">
        <f>1299+3</f>
        <v>1302</v>
      </c>
      <c r="K6" s="54">
        <v>46044</v>
      </c>
      <c r="L6" s="49" t="s">
        <v>32</v>
      </c>
      <c r="M6" s="55">
        <v>5000101516</v>
      </c>
      <c r="N6" s="53">
        <v>1920</v>
      </c>
      <c r="O6" s="54">
        <v>46049</v>
      </c>
      <c r="P6" s="49" t="s">
        <v>32</v>
      </c>
      <c r="Q6" s="58" t="s">
        <v>436</v>
      </c>
      <c r="R6" s="53">
        <v>4899.38</v>
      </c>
      <c r="S6" s="54">
        <v>46054</v>
      </c>
      <c r="T6" s="49" t="s">
        <v>32</v>
      </c>
      <c r="U6" s="53">
        <v>2576</v>
      </c>
      <c r="V6" s="54">
        <v>46049</v>
      </c>
      <c r="W6" s="49" t="s">
        <v>32</v>
      </c>
      <c r="X6" s="56">
        <v>0</v>
      </c>
      <c r="Y6" s="49" t="s">
        <v>34</v>
      </c>
      <c r="Z6" s="53"/>
      <c r="AA6" s="172"/>
      <c r="AB6" s="4"/>
      <c r="AC6" s="4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</row>
    <row r="7" spans="1:1006" x14ac:dyDescent="0.25">
      <c r="A7" s="171" t="s">
        <v>27</v>
      </c>
      <c r="B7" s="55" t="s">
        <v>458</v>
      </c>
      <c r="C7" s="123" t="s">
        <v>533</v>
      </c>
      <c r="D7" s="81" t="s">
        <v>363</v>
      </c>
      <c r="E7" s="49" t="s">
        <v>38</v>
      </c>
      <c r="F7" s="49" t="s">
        <v>34</v>
      </c>
      <c r="G7" s="57" t="s">
        <v>34</v>
      </c>
      <c r="H7" s="49" t="s">
        <v>456</v>
      </c>
      <c r="I7" s="52" t="s">
        <v>437</v>
      </c>
      <c r="J7" s="53">
        <f>1299+3</f>
        <v>1302</v>
      </c>
      <c r="K7" s="54">
        <v>46027</v>
      </c>
      <c r="L7" s="49" t="s">
        <v>32</v>
      </c>
      <c r="M7" s="55">
        <v>5000100325</v>
      </c>
      <c r="N7" s="53">
        <v>400</v>
      </c>
      <c r="O7" s="54">
        <v>46049</v>
      </c>
      <c r="P7" s="49" t="s">
        <v>32</v>
      </c>
      <c r="Q7" s="58" t="s">
        <v>377</v>
      </c>
      <c r="R7" s="53">
        <v>3862.46</v>
      </c>
      <c r="S7" s="54">
        <v>46054</v>
      </c>
      <c r="T7" s="49" t="s">
        <v>32</v>
      </c>
      <c r="U7" s="53">
        <v>2576</v>
      </c>
      <c r="V7" s="54">
        <v>46049</v>
      </c>
      <c r="W7" s="49" t="s">
        <v>32</v>
      </c>
      <c r="X7" s="56">
        <v>0</v>
      </c>
      <c r="Y7" s="49" t="s">
        <v>34</v>
      </c>
      <c r="Z7" s="53"/>
      <c r="AA7" s="172"/>
      <c r="AB7" s="4"/>
      <c r="AC7" s="4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</row>
    <row r="8" spans="1:1006" x14ac:dyDescent="0.25">
      <c r="A8" s="171" t="s">
        <v>27</v>
      </c>
      <c r="B8" s="55" t="s">
        <v>457</v>
      </c>
      <c r="C8" s="123" t="s">
        <v>535</v>
      </c>
      <c r="D8" s="81" t="s">
        <v>378</v>
      </c>
      <c r="E8" s="49" t="s">
        <v>38</v>
      </c>
      <c r="F8" s="49" t="s">
        <v>34</v>
      </c>
      <c r="G8" s="57" t="s">
        <v>34</v>
      </c>
      <c r="H8" s="49" t="s">
        <v>379</v>
      </c>
      <c r="I8" s="52" t="s">
        <v>380</v>
      </c>
      <c r="J8" s="53">
        <v>999</v>
      </c>
      <c r="K8" s="54">
        <v>46024</v>
      </c>
      <c r="L8" s="49" t="s">
        <v>32</v>
      </c>
      <c r="M8" s="55">
        <v>5000020515</v>
      </c>
      <c r="N8" s="53">
        <v>480</v>
      </c>
      <c r="O8" s="54">
        <v>46049</v>
      </c>
      <c r="P8" s="49" t="s">
        <v>32</v>
      </c>
      <c r="Q8" s="58" t="s">
        <v>381</v>
      </c>
      <c r="R8" s="53">
        <v>3419.9</v>
      </c>
      <c r="S8" s="54">
        <v>46054</v>
      </c>
      <c r="T8" s="49" t="s">
        <v>32</v>
      </c>
      <c r="U8" s="53">
        <v>0</v>
      </c>
      <c r="V8" s="54">
        <v>46049</v>
      </c>
      <c r="W8" s="49" t="s">
        <v>193</v>
      </c>
      <c r="X8" s="56">
        <v>0</v>
      </c>
      <c r="Y8" s="49" t="s">
        <v>34</v>
      </c>
      <c r="Z8" s="53"/>
      <c r="AA8" s="172"/>
      <c r="AB8" s="4"/>
      <c r="AC8" s="4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</row>
    <row r="9" spans="1:1006" x14ac:dyDescent="0.25">
      <c r="A9" s="171" t="s">
        <v>27</v>
      </c>
      <c r="B9" s="59" t="s">
        <v>463</v>
      </c>
      <c r="C9" s="123" t="s">
        <v>537</v>
      </c>
      <c r="D9" s="81" t="s">
        <v>494</v>
      </c>
      <c r="E9" s="49" t="s">
        <v>38</v>
      </c>
      <c r="F9" s="49" t="s">
        <v>34</v>
      </c>
      <c r="G9" s="57" t="s">
        <v>34</v>
      </c>
      <c r="H9" s="49" t="s">
        <v>452</v>
      </c>
      <c r="I9" s="52" t="s">
        <v>448</v>
      </c>
      <c r="J9" s="53">
        <f>1299+3</f>
        <v>1302</v>
      </c>
      <c r="K9" s="54">
        <v>46041</v>
      </c>
      <c r="L9" s="49" t="s">
        <v>32</v>
      </c>
      <c r="M9" s="55"/>
      <c r="N9" s="60">
        <v>960</v>
      </c>
      <c r="O9" s="54">
        <v>46049</v>
      </c>
      <c r="P9" s="49" t="s">
        <v>32</v>
      </c>
      <c r="Q9" s="55"/>
      <c r="R9" s="53"/>
      <c r="S9" s="54"/>
      <c r="T9" s="49"/>
      <c r="U9" s="53">
        <v>4317.1000000000004</v>
      </c>
      <c r="V9" s="54">
        <v>46049</v>
      </c>
      <c r="W9" s="49" t="s">
        <v>32</v>
      </c>
      <c r="X9" s="56"/>
      <c r="Y9" s="49" t="s">
        <v>34</v>
      </c>
      <c r="Z9" s="53"/>
      <c r="AA9" s="172"/>
      <c r="AB9" s="4"/>
      <c r="AC9" s="4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</row>
    <row r="10" spans="1:1006" x14ac:dyDescent="0.25">
      <c r="A10" s="173" t="s">
        <v>27</v>
      </c>
      <c r="B10" s="61" t="s">
        <v>41</v>
      </c>
      <c r="C10" s="125" t="s">
        <v>41</v>
      </c>
      <c r="D10" s="81" t="s">
        <v>42</v>
      </c>
      <c r="E10" s="49" t="s">
        <v>30</v>
      </c>
      <c r="F10" s="50">
        <v>17500</v>
      </c>
      <c r="G10" s="51">
        <v>17500</v>
      </c>
      <c r="H10" s="62" t="s">
        <v>31</v>
      </c>
      <c r="I10" s="63">
        <v>932716585</v>
      </c>
      <c r="J10" s="53">
        <v>0</v>
      </c>
      <c r="K10" s="64">
        <v>46048</v>
      </c>
      <c r="L10" s="49" t="s">
        <v>504</v>
      </c>
      <c r="M10" s="55">
        <v>5000300626</v>
      </c>
      <c r="N10" s="53">
        <v>560</v>
      </c>
      <c r="O10" s="54">
        <v>46049</v>
      </c>
      <c r="P10" s="49" t="s">
        <v>32</v>
      </c>
      <c r="Q10" s="65" t="s">
        <v>43</v>
      </c>
      <c r="R10" s="53">
        <v>1927.74</v>
      </c>
      <c r="S10" s="66">
        <v>46054</v>
      </c>
      <c r="T10" s="49" t="s">
        <v>32</v>
      </c>
      <c r="U10" s="53" t="s">
        <v>34</v>
      </c>
      <c r="V10" s="53" t="s">
        <v>34</v>
      </c>
      <c r="W10" s="49" t="s">
        <v>34</v>
      </c>
      <c r="X10" s="56">
        <v>0</v>
      </c>
      <c r="Y10" s="49" t="s">
        <v>34</v>
      </c>
      <c r="Z10" s="53"/>
      <c r="AA10" s="172" t="s">
        <v>35</v>
      </c>
      <c r="AB10" s="4"/>
      <c r="AC10" s="4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</row>
    <row r="11" spans="1:1006" x14ac:dyDescent="0.25">
      <c r="A11" s="171" t="s">
        <v>27</v>
      </c>
      <c r="B11" s="61" t="s">
        <v>44</v>
      </c>
      <c r="C11" s="123" t="s">
        <v>532</v>
      </c>
      <c r="D11" s="81" t="s">
        <v>45</v>
      </c>
      <c r="E11" s="49" t="s">
        <v>38</v>
      </c>
      <c r="F11" s="67" t="s">
        <v>34</v>
      </c>
      <c r="G11" s="68" t="s">
        <v>34</v>
      </c>
      <c r="H11" s="49" t="s">
        <v>31</v>
      </c>
      <c r="I11" s="52">
        <v>929106380</v>
      </c>
      <c r="J11" s="53">
        <v>0</v>
      </c>
      <c r="K11" s="54">
        <v>46052</v>
      </c>
      <c r="L11" s="49" t="s">
        <v>34</v>
      </c>
      <c r="M11" s="55">
        <v>5000100917</v>
      </c>
      <c r="N11" s="53">
        <v>240</v>
      </c>
      <c r="O11" s="54">
        <v>46049</v>
      </c>
      <c r="P11" s="49" t="s">
        <v>32</v>
      </c>
      <c r="Q11" s="55" t="s">
        <v>46</v>
      </c>
      <c r="R11" s="53">
        <v>1093.1400000000001</v>
      </c>
      <c r="S11" s="54">
        <v>46055</v>
      </c>
      <c r="T11" s="49" t="s">
        <v>32</v>
      </c>
      <c r="U11" s="53">
        <v>0</v>
      </c>
      <c r="V11" s="54">
        <v>46049</v>
      </c>
      <c r="W11" s="49" t="s">
        <v>34</v>
      </c>
      <c r="X11" s="56">
        <v>0</v>
      </c>
      <c r="Y11" s="49" t="s">
        <v>34</v>
      </c>
      <c r="Z11" s="53"/>
      <c r="AA11" s="172" t="s">
        <v>40</v>
      </c>
      <c r="AB11" s="4"/>
      <c r="AC11" s="4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</row>
    <row r="12" spans="1:1006" x14ac:dyDescent="0.25">
      <c r="A12" s="173" t="s">
        <v>27</v>
      </c>
      <c r="B12" s="61" t="s">
        <v>47</v>
      </c>
      <c r="C12" s="123" t="s">
        <v>553</v>
      </c>
      <c r="D12" s="81" t="s">
        <v>48</v>
      </c>
      <c r="E12" s="49" t="s">
        <v>30</v>
      </c>
      <c r="F12" s="50">
        <v>17500</v>
      </c>
      <c r="G12" s="51">
        <v>17500</v>
      </c>
      <c r="H12" s="49" t="s">
        <v>31</v>
      </c>
      <c r="I12" s="52">
        <v>933205537</v>
      </c>
      <c r="J12" s="53">
        <f>1299+7</f>
        <v>1306</v>
      </c>
      <c r="K12" s="54">
        <v>46027</v>
      </c>
      <c r="L12" s="49" t="s">
        <v>32</v>
      </c>
      <c r="M12" s="55">
        <v>5000200309</v>
      </c>
      <c r="N12" s="53">
        <v>560</v>
      </c>
      <c r="O12" s="54">
        <v>46049</v>
      </c>
      <c r="P12" s="49" t="s">
        <v>32</v>
      </c>
      <c r="Q12" s="78" t="s">
        <v>49</v>
      </c>
      <c r="R12" s="53">
        <v>4203.91</v>
      </c>
      <c r="S12" s="64">
        <v>46054</v>
      </c>
      <c r="T12" s="49" t="s">
        <v>32</v>
      </c>
      <c r="U12" s="53" t="s">
        <v>34</v>
      </c>
      <c r="V12" s="53" t="s">
        <v>34</v>
      </c>
      <c r="W12" s="49" t="s">
        <v>34</v>
      </c>
      <c r="X12" s="56">
        <v>0</v>
      </c>
      <c r="Y12" s="49" t="s">
        <v>34</v>
      </c>
      <c r="Z12" s="53"/>
      <c r="AA12" s="172" t="s">
        <v>35</v>
      </c>
      <c r="AB12" s="4"/>
      <c r="AC12" s="4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</row>
    <row r="13" spans="1:1006" x14ac:dyDescent="0.25">
      <c r="A13" s="171" t="s">
        <v>27</v>
      </c>
      <c r="B13" s="61" t="s">
        <v>50</v>
      </c>
      <c r="C13" s="123" t="s">
        <v>534</v>
      </c>
      <c r="D13" s="81" t="s">
        <v>51</v>
      </c>
      <c r="E13" s="49" t="s">
        <v>30</v>
      </c>
      <c r="F13" s="69">
        <v>18000</v>
      </c>
      <c r="G13" s="70">
        <v>18000</v>
      </c>
      <c r="H13" s="49" t="s">
        <v>31</v>
      </c>
      <c r="I13" s="52">
        <v>929503650</v>
      </c>
      <c r="J13" s="53">
        <f>1299+7</f>
        <v>1306</v>
      </c>
      <c r="K13" s="54">
        <v>46052</v>
      </c>
      <c r="L13" s="49" t="s">
        <v>32</v>
      </c>
      <c r="M13" s="55">
        <v>5000201020</v>
      </c>
      <c r="N13" s="53">
        <v>400</v>
      </c>
      <c r="O13" s="54">
        <v>46049</v>
      </c>
      <c r="P13" s="49" t="s">
        <v>32</v>
      </c>
      <c r="Q13" s="55" t="s">
        <v>52</v>
      </c>
      <c r="R13" s="53">
        <v>2092.11</v>
      </c>
      <c r="S13" s="54">
        <v>46054</v>
      </c>
      <c r="T13" s="49" t="s">
        <v>32</v>
      </c>
      <c r="U13" s="53" t="s">
        <v>34</v>
      </c>
      <c r="V13" s="53" t="s">
        <v>34</v>
      </c>
      <c r="W13" s="49" t="s">
        <v>34</v>
      </c>
      <c r="X13" s="56">
        <v>0</v>
      </c>
      <c r="Y13" s="49" t="s">
        <v>34</v>
      </c>
      <c r="Z13" s="53"/>
      <c r="AA13" s="172" t="s">
        <v>35</v>
      </c>
      <c r="AB13" s="4"/>
      <c r="AC13" s="4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</row>
    <row r="14" spans="1:1006" x14ac:dyDescent="0.25">
      <c r="A14" s="171" t="s">
        <v>27</v>
      </c>
      <c r="B14" s="61" t="s">
        <v>53</v>
      </c>
      <c r="C14" s="123" t="s">
        <v>554</v>
      </c>
      <c r="D14" s="81" t="s">
        <v>54</v>
      </c>
      <c r="E14" s="49" t="s">
        <v>38</v>
      </c>
      <c r="F14" s="67" t="s">
        <v>34</v>
      </c>
      <c r="G14" s="70" t="s">
        <v>34</v>
      </c>
      <c r="H14" s="49" t="s">
        <v>31</v>
      </c>
      <c r="I14" s="52">
        <v>933486110</v>
      </c>
      <c r="J14" s="53">
        <f>1399+7</f>
        <v>1406</v>
      </c>
      <c r="K14" s="54">
        <v>46048</v>
      </c>
      <c r="L14" s="49" t="s">
        <v>32</v>
      </c>
      <c r="M14" s="55">
        <v>5000200521</v>
      </c>
      <c r="N14" s="53">
        <v>400</v>
      </c>
      <c r="O14" s="54">
        <v>46049</v>
      </c>
      <c r="P14" s="49" t="s">
        <v>32</v>
      </c>
      <c r="Q14" s="55" t="s">
        <v>55</v>
      </c>
      <c r="R14" s="53">
        <v>2281.8000000000002</v>
      </c>
      <c r="S14" s="54">
        <v>46054</v>
      </c>
      <c r="T14" s="49" t="s">
        <v>32</v>
      </c>
      <c r="U14" s="53">
        <v>2576</v>
      </c>
      <c r="V14" s="53" t="s">
        <v>34</v>
      </c>
      <c r="W14" s="49" t="s">
        <v>32</v>
      </c>
      <c r="X14" s="56">
        <v>0</v>
      </c>
      <c r="Y14" s="49" t="s">
        <v>34</v>
      </c>
      <c r="Z14" s="53"/>
      <c r="AA14" s="172" t="s">
        <v>35</v>
      </c>
      <c r="AB14" s="4"/>
      <c r="AC14" s="4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</row>
    <row r="15" spans="1:1006" x14ac:dyDescent="0.25">
      <c r="A15" s="171" t="s">
        <v>27</v>
      </c>
      <c r="B15" s="55" t="s">
        <v>56</v>
      </c>
      <c r="C15" s="123" t="s">
        <v>555</v>
      </c>
      <c r="D15" s="81" t="s">
        <v>57</v>
      </c>
      <c r="E15" s="49" t="s">
        <v>38</v>
      </c>
      <c r="F15" s="67" t="s">
        <v>34</v>
      </c>
      <c r="G15" s="70" t="s">
        <v>34</v>
      </c>
      <c r="H15" s="49" t="s">
        <v>58</v>
      </c>
      <c r="I15" s="52" t="s">
        <v>34</v>
      </c>
      <c r="J15" s="53">
        <v>0</v>
      </c>
      <c r="K15" s="54" t="s">
        <v>34</v>
      </c>
      <c r="L15" s="49" t="s">
        <v>34</v>
      </c>
      <c r="M15" s="55">
        <v>5000200522</v>
      </c>
      <c r="N15" s="53">
        <v>240</v>
      </c>
      <c r="O15" s="54">
        <v>46049</v>
      </c>
      <c r="P15" s="49" t="s">
        <v>32</v>
      </c>
      <c r="Q15" s="55" t="s">
        <v>59</v>
      </c>
      <c r="R15" s="53">
        <v>2180.64</v>
      </c>
      <c r="S15" s="54">
        <v>46054</v>
      </c>
      <c r="T15" s="49" t="s">
        <v>32</v>
      </c>
      <c r="U15" s="53">
        <v>2576</v>
      </c>
      <c r="V15" s="53" t="s">
        <v>34</v>
      </c>
      <c r="W15" s="49" t="s">
        <v>32</v>
      </c>
      <c r="X15" s="56">
        <v>0</v>
      </c>
      <c r="Y15" s="49" t="s">
        <v>34</v>
      </c>
      <c r="Z15" s="53"/>
      <c r="AA15" s="172" t="s">
        <v>60</v>
      </c>
      <c r="AB15" s="4"/>
      <c r="AC15" s="4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</row>
    <row r="16" spans="1:1006" x14ac:dyDescent="0.25">
      <c r="A16" s="171" t="s">
        <v>27</v>
      </c>
      <c r="B16" s="71" t="s">
        <v>61</v>
      </c>
      <c r="C16" s="123" t="s">
        <v>538</v>
      </c>
      <c r="D16" s="81" t="s">
        <v>62</v>
      </c>
      <c r="E16" s="49" t="s">
        <v>30</v>
      </c>
      <c r="F16" s="50">
        <v>36000</v>
      </c>
      <c r="G16" s="51">
        <v>18000</v>
      </c>
      <c r="H16" s="49" t="s">
        <v>31</v>
      </c>
      <c r="I16" s="52">
        <v>930395869</v>
      </c>
      <c r="J16" s="53">
        <f>1299+7</f>
        <v>1306</v>
      </c>
      <c r="K16" s="54">
        <v>46033</v>
      </c>
      <c r="L16" s="49" t="s">
        <v>32</v>
      </c>
      <c r="M16" s="55">
        <v>5000300812</v>
      </c>
      <c r="N16" s="53">
        <v>1120</v>
      </c>
      <c r="O16" s="54">
        <v>46049</v>
      </c>
      <c r="P16" s="49" t="s">
        <v>32</v>
      </c>
      <c r="Q16" s="55" t="s">
        <v>63</v>
      </c>
      <c r="R16" s="53">
        <v>2888.77</v>
      </c>
      <c r="S16" s="54">
        <v>46054</v>
      </c>
      <c r="T16" s="49" t="s">
        <v>32</v>
      </c>
      <c r="U16" s="53" t="s">
        <v>34</v>
      </c>
      <c r="V16" s="53" t="s">
        <v>34</v>
      </c>
      <c r="W16" s="49" t="s">
        <v>34</v>
      </c>
      <c r="X16" s="56">
        <v>0</v>
      </c>
      <c r="Y16" s="49" t="s">
        <v>34</v>
      </c>
      <c r="Z16" s="53"/>
      <c r="AA16" s="172" t="s">
        <v>35</v>
      </c>
      <c r="AB16" s="4"/>
      <c r="AC16" s="4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</row>
    <row r="17" spans="1:1006" x14ac:dyDescent="0.25">
      <c r="A17" s="171" t="s">
        <v>27</v>
      </c>
      <c r="B17" s="55" t="s">
        <v>64</v>
      </c>
      <c r="C17" s="123" t="s">
        <v>556</v>
      </c>
      <c r="D17" s="81" t="s">
        <v>65</v>
      </c>
      <c r="E17" s="49" t="s">
        <v>38</v>
      </c>
      <c r="F17" s="49" t="s">
        <v>34</v>
      </c>
      <c r="G17" s="57" t="s">
        <v>34</v>
      </c>
      <c r="H17" s="49" t="s">
        <v>66</v>
      </c>
      <c r="I17" s="52">
        <v>639209099760</v>
      </c>
      <c r="J17" s="53">
        <v>999</v>
      </c>
      <c r="K17" s="54">
        <v>46034</v>
      </c>
      <c r="L17" s="49" t="s">
        <v>32</v>
      </c>
      <c r="M17" s="55">
        <v>5000400117</v>
      </c>
      <c r="N17" s="53">
        <v>320</v>
      </c>
      <c r="O17" s="54">
        <v>46049</v>
      </c>
      <c r="P17" s="49" t="s">
        <v>32</v>
      </c>
      <c r="Q17" s="55" t="s">
        <v>67</v>
      </c>
      <c r="R17" s="53">
        <v>0</v>
      </c>
      <c r="S17" s="54">
        <v>46056</v>
      </c>
      <c r="T17" s="49" t="s">
        <v>32</v>
      </c>
      <c r="U17" s="53">
        <v>2623.15</v>
      </c>
      <c r="V17" s="54">
        <v>46049</v>
      </c>
      <c r="W17" s="49" t="s">
        <v>32</v>
      </c>
      <c r="X17" s="56">
        <v>0</v>
      </c>
      <c r="Y17" s="49" t="s">
        <v>34</v>
      </c>
      <c r="Z17" s="53"/>
      <c r="AA17" s="172"/>
      <c r="AB17" s="4"/>
      <c r="AC17" s="4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</row>
    <row r="18" spans="1:1006" x14ac:dyDescent="0.25">
      <c r="A18" s="171" t="s">
        <v>27</v>
      </c>
      <c r="B18" s="71" t="s">
        <v>68</v>
      </c>
      <c r="C18" s="123" t="s">
        <v>539</v>
      </c>
      <c r="D18" s="81" t="s">
        <v>51</v>
      </c>
      <c r="E18" s="49" t="s">
        <v>30</v>
      </c>
      <c r="F18" s="50">
        <v>16000</v>
      </c>
      <c r="G18" s="51">
        <v>16000</v>
      </c>
      <c r="H18" s="49" t="s">
        <v>31</v>
      </c>
      <c r="I18" s="52">
        <v>930391220</v>
      </c>
      <c r="J18" s="53">
        <f>1299+7</f>
        <v>1306</v>
      </c>
      <c r="K18" s="54">
        <v>46033</v>
      </c>
      <c r="L18" s="49" t="s">
        <v>32</v>
      </c>
      <c r="M18" s="55">
        <v>5000200708</v>
      </c>
      <c r="N18" s="53">
        <v>640</v>
      </c>
      <c r="O18" s="54">
        <v>46049</v>
      </c>
      <c r="P18" s="49" t="s">
        <v>32</v>
      </c>
      <c r="Q18" s="55" t="s">
        <v>69</v>
      </c>
      <c r="R18" s="53">
        <v>3710.69</v>
      </c>
      <c r="S18" s="54">
        <v>46054</v>
      </c>
      <c r="T18" s="49" t="s">
        <v>32</v>
      </c>
      <c r="U18" s="53" t="s">
        <v>34</v>
      </c>
      <c r="V18" s="53" t="s">
        <v>34</v>
      </c>
      <c r="W18" s="49" t="s">
        <v>34</v>
      </c>
      <c r="X18" s="56">
        <v>0</v>
      </c>
      <c r="Y18" s="49" t="s">
        <v>34</v>
      </c>
      <c r="Z18" s="53"/>
      <c r="AA18" s="172" t="s">
        <v>35</v>
      </c>
      <c r="AB18" s="4"/>
      <c r="AC18" s="4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</row>
    <row r="19" spans="1:1006" x14ac:dyDescent="0.25">
      <c r="A19" s="171" t="s">
        <v>27</v>
      </c>
      <c r="B19" s="61" t="s">
        <v>70</v>
      </c>
      <c r="C19" s="123" t="s">
        <v>557</v>
      </c>
      <c r="D19" s="81" t="s">
        <v>71</v>
      </c>
      <c r="E19" s="49" t="s">
        <v>30</v>
      </c>
      <c r="F19" s="50">
        <v>15000</v>
      </c>
      <c r="G19" s="51">
        <v>15000</v>
      </c>
      <c r="H19" s="49" t="s">
        <v>31</v>
      </c>
      <c r="I19" s="52">
        <v>932359203</v>
      </c>
      <c r="J19" s="53">
        <f>1299+100+7</f>
        <v>1406</v>
      </c>
      <c r="K19" s="54">
        <v>46048</v>
      </c>
      <c r="L19" s="49" t="s">
        <v>32</v>
      </c>
      <c r="M19" s="55">
        <v>5000200322</v>
      </c>
      <c r="N19" s="53">
        <v>880</v>
      </c>
      <c r="O19" s="54">
        <v>46049</v>
      </c>
      <c r="P19" s="49" t="s">
        <v>32</v>
      </c>
      <c r="Q19" s="55" t="s">
        <v>72</v>
      </c>
      <c r="R19" s="53">
        <v>4583.25</v>
      </c>
      <c r="S19" s="54">
        <v>46054</v>
      </c>
      <c r="T19" s="49" t="s">
        <v>32</v>
      </c>
      <c r="U19" s="53" t="s">
        <v>34</v>
      </c>
      <c r="V19" s="53" t="s">
        <v>34</v>
      </c>
      <c r="W19" s="49" t="s">
        <v>34</v>
      </c>
      <c r="X19" s="56">
        <v>0</v>
      </c>
      <c r="Y19" s="49" t="s">
        <v>34</v>
      </c>
      <c r="Z19" s="53"/>
      <c r="AA19" s="172" t="s">
        <v>35</v>
      </c>
      <c r="AB19" s="4"/>
      <c r="AC19" s="4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</row>
    <row r="20" spans="1:1006" x14ac:dyDescent="0.25">
      <c r="A20" s="171" t="s">
        <v>27</v>
      </c>
      <c r="B20" s="71" t="s">
        <v>73</v>
      </c>
      <c r="C20" s="123" t="s">
        <v>540</v>
      </c>
      <c r="D20" s="81" t="s">
        <v>74</v>
      </c>
      <c r="E20" s="49" t="s">
        <v>30</v>
      </c>
      <c r="F20" s="50">
        <v>25000</v>
      </c>
      <c r="G20" s="51">
        <v>25000</v>
      </c>
      <c r="H20" s="49" t="s">
        <v>31</v>
      </c>
      <c r="I20" s="52">
        <v>927686780</v>
      </c>
      <c r="J20" s="53">
        <f>1299+7</f>
        <v>1306</v>
      </c>
      <c r="K20" s="54">
        <v>46048</v>
      </c>
      <c r="L20" s="49" t="s">
        <v>32</v>
      </c>
      <c r="M20" s="55">
        <v>5000020716</v>
      </c>
      <c r="N20" s="53">
        <v>480</v>
      </c>
      <c r="O20" s="54">
        <v>46049</v>
      </c>
      <c r="P20" s="49" t="s">
        <v>32</v>
      </c>
      <c r="Q20" s="55" t="s">
        <v>75</v>
      </c>
      <c r="R20" s="53">
        <v>2231.23</v>
      </c>
      <c r="S20" s="54">
        <v>46054</v>
      </c>
      <c r="T20" s="49" t="s">
        <v>32</v>
      </c>
      <c r="U20" s="53" t="s">
        <v>34</v>
      </c>
      <c r="V20" s="53" t="s">
        <v>34</v>
      </c>
      <c r="W20" s="49" t="s">
        <v>34</v>
      </c>
      <c r="X20" s="56">
        <v>0</v>
      </c>
      <c r="Y20" s="49" t="s">
        <v>34</v>
      </c>
      <c r="Z20" s="53"/>
      <c r="AA20" s="172" t="s">
        <v>35</v>
      </c>
      <c r="AB20" s="4"/>
      <c r="AC20" s="4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</row>
    <row r="21" spans="1:1006" x14ac:dyDescent="0.25">
      <c r="A21" s="171" t="s">
        <v>27</v>
      </c>
      <c r="B21" s="71" t="s">
        <v>76</v>
      </c>
      <c r="C21" s="123" t="s">
        <v>541</v>
      </c>
      <c r="D21" s="81" t="s">
        <v>77</v>
      </c>
      <c r="E21" s="49" t="s">
        <v>30</v>
      </c>
      <c r="F21" s="50">
        <v>24000</v>
      </c>
      <c r="G21" s="51">
        <v>24000</v>
      </c>
      <c r="H21" s="49" t="s">
        <v>31</v>
      </c>
      <c r="I21" s="52">
        <v>930460150</v>
      </c>
      <c r="J21" s="53">
        <f>1299+7</f>
        <v>1306</v>
      </c>
      <c r="K21" s="54">
        <v>46039</v>
      </c>
      <c r="L21" s="49" t="s">
        <v>32</v>
      </c>
      <c r="M21" s="55">
        <v>5000300610</v>
      </c>
      <c r="N21" s="53">
        <v>480</v>
      </c>
      <c r="O21" s="54">
        <v>46049</v>
      </c>
      <c r="P21" s="49" t="s">
        <v>32</v>
      </c>
      <c r="Q21" s="55" t="s">
        <v>78</v>
      </c>
      <c r="R21" s="53">
        <v>2231.23</v>
      </c>
      <c r="S21" s="54">
        <v>46055</v>
      </c>
      <c r="T21" s="49" t="s">
        <v>32</v>
      </c>
      <c r="U21" s="53" t="s">
        <v>34</v>
      </c>
      <c r="V21" s="53" t="s">
        <v>34</v>
      </c>
      <c r="W21" s="49" t="s">
        <v>34</v>
      </c>
      <c r="X21" s="56">
        <v>0</v>
      </c>
      <c r="Y21" s="49" t="s">
        <v>34</v>
      </c>
      <c r="Z21" s="53"/>
      <c r="AA21" s="172" t="s">
        <v>35</v>
      </c>
      <c r="AB21" s="4"/>
      <c r="AC21" s="4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</row>
    <row r="22" spans="1:1006" x14ac:dyDescent="0.25">
      <c r="A22" s="171" t="s">
        <v>27</v>
      </c>
      <c r="B22" s="72" t="s">
        <v>79</v>
      </c>
      <c r="C22" s="123" t="s">
        <v>558</v>
      </c>
      <c r="D22" s="81" t="s">
        <v>80</v>
      </c>
      <c r="E22" s="49" t="s">
        <v>38</v>
      </c>
      <c r="F22" s="49" t="s">
        <v>34</v>
      </c>
      <c r="G22" s="57" t="s">
        <v>34</v>
      </c>
      <c r="H22" s="49" t="s">
        <v>31</v>
      </c>
      <c r="I22" s="52">
        <v>926741290</v>
      </c>
      <c r="J22" s="53">
        <f>1699+7</f>
        <v>1706</v>
      </c>
      <c r="K22" s="54">
        <v>46039</v>
      </c>
      <c r="L22" s="49" t="s">
        <v>32</v>
      </c>
      <c r="M22" s="55">
        <v>5000300424</v>
      </c>
      <c r="N22" s="53">
        <v>400</v>
      </c>
      <c r="O22" s="54">
        <v>46049</v>
      </c>
      <c r="P22" s="49" t="s">
        <v>32</v>
      </c>
      <c r="Q22" s="55" t="s">
        <v>81</v>
      </c>
      <c r="R22" s="53">
        <v>2307.09</v>
      </c>
      <c r="S22" s="54">
        <v>46054</v>
      </c>
      <c r="T22" s="49" t="s">
        <v>32</v>
      </c>
      <c r="U22" s="53">
        <v>2633.5</v>
      </c>
      <c r="V22" s="54">
        <v>46049</v>
      </c>
      <c r="W22" s="49" t="s">
        <v>32</v>
      </c>
      <c r="X22" s="56">
        <v>0</v>
      </c>
      <c r="Y22" s="49" t="s">
        <v>34</v>
      </c>
      <c r="Z22" s="53"/>
      <c r="AA22" s="172" t="s">
        <v>40</v>
      </c>
      <c r="AB22" s="4"/>
      <c r="AC22" s="4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</row>
    <row r="23" spans="1:1006" x14ac:dyDescent="0.25">
      <c r="A23" s="171" t="s">
        <v>27</v>
      </c>
      <c r="B23" s="71" t="s">
        <v>82</v>
      </c>
      <c r="C23" s="123" t="s">
        <v>542</v>
      </c>
      <c r="D23" s="81" t="s">
        <v>83</v>
      </c>
      <c r="E23" s="49" t="s">
        <v>30</v>
      </c>
      <c r="F23" s="50">
        <v>16000</v>
      </c>
      <c r="G23" s="51">
        <v>16000</v>
      </c>
      <c r="H23" s="49" t="s">
        <v>31</v>
      </c>
      <c r="I23" s="52">
        <v>930485943</v>
      </c>
      <c r="J23" s="53">
        <f>1299+7</f>
        <v>1306</v>
      </c>
      <c r="K23" s="54">
        <v>46048</v>
      </c>
      <c r="L23" s="49" t="s">
        <v>32</v>
      </c>
      <c r="M23" s="55">
        <v>5000200421</v>
      </c>
      <c r="N23" s="53">
        <v>560</v>
      </c>
      <c r="O23" s="54">
        <v>46049</v>
      </c>
      <c r="P23" s="49" t="s">
        <v>32</v>
      </c>
      <c r="Q23" s="55" t="s">
        <v>84</v>
      </c>
      <c r="R23" s="53">
        <v>2307.09</v>
      </c>
      <c r="S23" s="54">
        <v>46054</v>
      </c>
      <c r="T23" s="49" t="s">
        <v>32</v>
      </c>
      <c r="U23" s="53" t="s">
        <v>34</v>
      </c>
      <c r="V23" s="53" t="s">
        <v>34</v>
      </c>
      <c r="W23" s="49" t="s">
        <v>34</v>
      </c>
      <c r="X23" s="56">
        <v>0</v>
      </c>
      <c r="Y23" s="49" t="s">
        <v>34</v>
      </c>
      <c r="Z23" s="53"/>
      <c r="AA23" s="172" t="s">
        <v>35</v>
      </c>
      <c r="AB23" s="4"/>
      <c r="AC23" s="4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</row>
    <row r="24" spans="1:1006" x14ac:dyDescent="0.25">
      <c r="A24" s="171" t="s">
        <v>27</v>
      </c>
      <c r="B24" s="72" t="s">
        <v>85</v>
      </c>
      <c r="C24" s="123" t="s">
        <v>559</v>
      </c>
      <c r="D24" s="81" t="s">
        <v>80</v>
      </c>
      <c r="E24" s="49" t="s">
        <v>38</v>
      </c>
      <c r="F24" s="67" t="s">
        <v>34</v>
      </c>
      <c r="G24" s="68" t="s">
        <v>34</v>
      </c>
      <c r="H24" s="49" t="s">
        <v>31</v>
      </c>
      <c r="I24" s="52">
        <v>926741319</v>
      </c>
      <c r="J24" s="53">
        <f>1699+7</f>
        <v>1706</v>
      </c>
      <c r="K24" s="54">
        <v>46039</v>
      </c>
      <c r="L24" s="49" t="s">
        <v>32</v>
      </c>
      <c r="M24" s="55">
        <v>5000300426</v>
      </c>
      <c r="N24" s="53">
        <v>400</v>
      </c>
      <c r="O24" s="54">
        <v>46049</v>
      </c>
      <c r="P24" s="49" t="s">
        <v>32</v>
      </c>
      <c r="Q24" s="55" t="s">
        <v>86</v>
      </c>
      <c r="R24" s="53">
        <v>1105.79</v>
      </c>
      <c r="S24" s="54">
        <v>46054</v>
      </c>
      <c r="T24" s="49" t="s">
        <v>32</v>
      </c>
      <c r="U24" s="53">
        <v>2633.5</v>
      </c>
      <c r="V24" s="54">
        <v>46049</v>
      </c>
      <c r="W24" s="49" t="s">
        <v>32</v>
      </c>
      <c r="X24" s="56">
        <v>0</v>
      </c>
      <c r="Y24" s="49" t="s">
        <v>34</v>
      </c>
      <c r="Z24" s="53"/>
      <c r="AA24" s="172" t="s">
        <v>40</v>
      </c>
      <c r="AB24" s="4"/>
      <c r="AC24" s="4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</row>
    <row r="25" spans="1:1006" x14ac:dyDescent="0.25">
      <c r="A25" s="171" t="s">
        <v>27</v>
      </c>
      <c r="B25" s="72" t="s">
        <v>87</v>
      </c>
      <c r="C25" s="123" t="s">
        <v>560</v>
      </c>
      <c r="D25" s="81" t="s">
        <v>80</v>
      </c>
      <c r="E25" s="49" t="s">
        <v>38</v>
      </c>
      <c r="F25" s="49" t="s">
        <v>34</v>
      </c>
      <c r="G25" s="57" t="s">
        <v>34</v>
      </c>
      <c r="H25" s="49" t="s">
        <v>31</v>
      </c>
      <c r="I25" s="52">
        <v>926741332</v>
      </c>
      <c r="J25" s="53">
        <f>1699+7</f>
        <v>1706</v>
      </c>
      <c r="K25" s="54">
        <v>46039</v>
      </c>
      <c r="L25" s="49" t="s">
        <v>32</v>
      </c>
      <c r="M25" s="55">
        <v>5000300826</v>
      </c>
      <c r="N25" s="53">
        <v>480</v>
      </c>
      <c r="O25" s="54">
        <v>46049</v>
      </c>
      <c r="P25" s="49" t="s">
        <v>32</v>
      </c>
      <c r="Q25" s="55" t="s">
        <v>88</v>
      </c>
      <c r="R25" s="53">
        <v>3356.61</v>
      </c>
      <c r="S25" s="54">
        <v>46054</v>
      </c>
      <c r="T25" s="49" t="s">
        <v>32</v>
      </c>
      <c r="U25" s="53">
        <v>2633.5</v>
      </c>
      <c r="V25" s="54">
        <v>46049</v>
      </c>
      <c r="W25" s="49" t="s">
        <v>32</v>
      </c>
      <c r="X25" s="56">
        <v>0</v>
      </c>
      <c r="Y25" s="49" t="s">
        <v>34</v>
      </c>
      <c r="Z25" s="53"/>
      <c r="AA25" s="172" t="s">
        <v>40</v>
      </c>
      <c r="AB25" s="4"/>
      <c r="AC25" s="4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</row>
    <row r="26" spans="1:1006" x14ac:dyDescent="0.25">
      <c r="A26" s="171" t="s">
        <v>27</v>
      </c>
      <c r="B26" s="61" t="s">
        <v>89</v>
      </c>
      <c r="C26" s="123" t="s">
        <v>543</v>
      </c>
      <c r="D26" s="81" t="s">
        <v>90</v>
      </c>
      <c r="E26" s="49" t="s">
        <v>30</v>
      </c>
      <c r="F26" s="50">
        <v>25000</v>
      </c>
      <c r="G26" s="51">
        <v>25000</v>
      </c>
      <c r="H26" s="49" t="s">
        <v>31</v>
      </c>
      <c r="I26" s="52">
        <v>931274640</v>
      </c>
      <c r="J26" s="53">
        <f>1399+7</f>
        <v>1406</v>
      </c>
      <c r="K26" s="54">
        <v>46048</v>
      </c>
      <c r="L26" s="49" t="s">
        <v>32</v>
      </c>
      <c r="M26" s="55">
        <v>5000010503</v>
      </c>
      <c r="N26" s="53">
        <v>1200</v>
      </c>
      <c r="O26" s="54">
        <v>46049</v>
      </c>
      <c r="P26" s="49" t="s">
        <v>32</v>
      </c>
      <c r="Q26" s="55" t="s">
        <v>91</v>
      </c>
      <c r="R26" s="53">
        <v>11550.8</v>
      </c>
      <c r="S26" s="54">
        <v>46055</v>
      </c>
      <c r="T26" s="49" t="s">
        <v>32</v>
      </c>
      <c r="U26" s="53" t="s">
        <v>34</v>
      </c>
      <c r="V26" s="53" t="s">
        <v>34</v>
      </c>
      <c r="W26" s="49" t="s">
        <v>34</v>
      </c>
      <c r="X26" s="56">
        <v>0</v>
      </c>
      <c r="Y26" s="49" t="s">
        <v>34</v>
      </c>
      <c r="Z26" s="53"/>
      <c r="AA26" s="172" t="s">
        <v>35</v>
      </c>
      <c r="AB26" s="4"/>
      <c r="AC26" s="4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</row>
    <row r="27" spans="1:1006" x14ac:dyDescent="0.25">
      <c r="A27" s="171" t="s">
        <v>27</v>
      </c>
      <c r="B27" s="48" t="s">
        <v>92</v>
      </c>
      <c r="C27" s="123" t="s">
        <v>544</v>
      </c>
      <c r="D27" s="81" t="s">
        <v>93</v>
      </c>
      <c r="E27" s="49" t="s">
        <v>30</v>
      </c>
      <c r="F27" s="50">
        <v>16000</v>
      </c>
      <c r="G27" s="51">
        <v>16000</v>
      </c>
      <c r="H27" s="49" t="s">
        <v>94</v>
      </c>
      <c r="I27" s="52" t="s">
        <v>34</v>
      </c>
      <c r="J27" s="53">
        <v>0</v>
      </c>
      <c r="K27" s="54" t="s">
        <v>34</v>
      </c>
      <c r="L27" s="49" t="s">
        <v>34</v>
      </c>
      <c r="M27" s="55">
        <v>5000200420</v>
      </c>
      <c r="N27" s="53">
        <v>480</v>
      </c>
      <c r="O27" s="54">
        <v>46049</v>
      </c>
      <c r="P27" s="49" t="s">
        <v>32</v>
      </c>
      <c r="Q27" s="55" t="s">
        <v>95</v>
      </c>
      <c r="R27" s="53">
        <v>2370.3200000000002</v>
      </c>
      <c r="S27" s="54">
        <v>46054</v>
      </c>
      <c r="T27" s="49" t="s">
        <v>32</v>
      </c>
      <c r="U27" s="53" t="s">
        <v>34</v>
      </c>
      <c r="V27" s="53" t="s">
        <v>34</v>
      </c>
      <c r="W27" s="49" t="s">
        <v>34</v>
      </c>
      <c r="X27" s="56">
        <v>0</v>
      </c>
      <c r="Y27" s="49" t="s">
        <v>34</v>
      </c>
      <c r="Z27" s="53"/>
      <c r="AA27" s="172" t="s">
        <v>60</v>
      </c>
      <c r="AB27" s="4"/>
      <c r="AC27" s="4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</row>
    <row r="28" spans="1:1006" x14ac:dyDescent="0.25">
      <c r="A28" s="171" t="s">
        <v>27</v>
      </c>
      <c r="B28" s="61" t="s">
        <v>96</v>
      </c>
      <c r="C28" s="123" t="s">
        <v>545</v>
      </c>
      <c r="D28" s="81" t="s">
        <v>99</v>
      </c>
      <c r="E28" s="49" t="s">
        <v>30</v>
      </c>
      <c r="F28" s="50">
        <v>18000</v>
      </c>
      <c r="G28" s="51">
        <v>18000</v>
      </c>
      <c r="H28" s="49" t="s">
        <v>31</v>
      </c>
      <c r="I28" s="52">
        <v>931603046</v>
      </c>
      <c r="J28" s="53">
        <f>1299+100+7</f>
        <v>1406</v>
      </c>
      <c r="K28" s="54">
        <v>46036</v>
      </c>
      <c r="L28" s="49" t="s">
        <v>32</v>
      </c>
      <c r="M28" s="55">
        <v>5000201423</v>
      </c>
      <c r="N28" s="53">
        <v>240</v>
      </c>
      <c r="O28" s="54">
        <v>46049</v>
      </c>
      <c r="P28" s="49" t="s">
        <v>32</v>
      </c>
      <c r="Q28" s="55" t="s">
        <v>97</v>
      </c>
      <c r="R28" s="53">
        <v>3710.69</v>
      </c>
      <c r="S28" s="54">
        <v>46054</v>
      </c>
      <c r="T28" s="49" t="s">
        <v>32</v>
      </c>
      <c r="U28" s="53" t="s">
        <v>34</v>
      </c>
      <c r="V28" s="53" t="s">
        <v>34</v>
      </c>
      <c r="W28" s="49" t="s">
        <v>34</v>
      </c>
      <c r="X28" s="56">
        <v>0</v>
      </c>
      <c r="Y28" s="49" t="s">
        <v>34</v>
      </c>
      <c r="Z28" s="53"/>
      <c r="AA28" s="172" t="s">
        <v>35</v>
      </c>
      <c r="AB28" s="4"/>
      <c r="AC28" s="4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</row>
    <row r="29" spans="1:1006" x14ac:dyDescent="0.25">
      <c r="A29" s="171" t="s">
        <v>27</v>
      </c>
      <c r="B29" s="61" t="s">
        <v>98</v>
      </c>
      <c r="C29" s="123" t="s">
        <v>561</v>
      </c>
      <c r="D29" s="81" t="s">
        <v>415</v>
      </c>
      <c r="E29" s="49" t="s">
        <v>30</v>
      </c>
      <c r="F29" s="50">
        <v>11000</v>
      </c>
      <c r="G29" s="51">
        <v>11000</v>
      </c>
      <c r="H29" s="49" t="s">
        <v>31</v>
      </c>
      <c r="I29" s="52">
        <v>933522150</v>
      </c>
      <c r="J29" s="53">
        <f>1299+100+7</f>
        <v>1406</v>
      </c>
      <c r="K29" s="54">
        <v>46048</v>
      </c>
      <c r="L29" s="49" t="s">
        <v>32</v>
      </c>
      <c r="M29" s="55">
        <v>5000201223</v>
      </c>
      <c r="N29" s="53">
        <v>480</v>
      </c>
      <c r="O29" s="54">
        <v>46049</v>
      </c>
      <c r="P29" s="49" t="s">
        <v>32</v>
      </c>
      <c r="Q29" s="55" t="s">
        <v>100</v>
      </c>
      <c r="R29" s="53">
        <v>3192.27</v>
      </c>
      <c r="S29" s="54">
        <v>46054</v>
      </c>
      <c r="T29" s="49" t="s">
        <v>32</v>
      </c>
      <c r="U29" s="53" t="s">
        <v>34</v>
      </c>
      <c r="V29" s="53" t="s">
        <v>34</v>
      </c>
      <c r="W29" s="49" t="s">
        <v>34</v>
      </c>
      <c r="X29" s="56">
        <v>0</v>
      </c>
      <c r="Y29" s="49" t="s">
        <v>34</v>
      </c>
      <c r="Z29" s="53"/>
      <c r="AA29" s="172" t="s">
        <v>35</v>
      </c>
      <c r="AB29" s="4"/>
      <c r="AC29" s="4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</row>
    <row r="30" spans="1:1006" x14ac:dyDescent="0.25">
      <c r="A30" s="171" t="s">
        <v>27</v>
      </c>
      <c r="B30" s="61" t="s">
        <v>101</v>
      </c>
      <c r="C30" s="123" t="s">
        <v>546</v>
      </c>
      <c r="D30" s="81" t="s">
        <v>102</v>
      </c>
      <c r="E30" s="49" t="s">
        <v>30</v>
      </c>
      <c r="F30" s="50">
        <v>21000</v>
      </c>
      <c r="G30" s="51">
        <v>21000</v>
      </c>
      <c r="H30" s="49" t="s">
        <v>31</v>
      </c>
      <c r="I30" s="52">
        <v>931587564</v>
      </c>
      <c r="J30" s="53">
        <f>1299+100+7</f>
        <v>1406</v>
      </c>
      <c r="K30" s="54">
        <v>46036</v>
      </c>
      <c r="L30" s="49" t="s">
        <v>32</v>
      </c>
      <c r="M30" s="55">
        <v>5000010717</v>
      </c>
      <c r="N30" s="53">
        <v>560</v>
      </c>
      <c r="O30" s="54">
        <v>46049</v>
      </c>
      <c r="P30" s="49" t="s">
        <v>32</v>
      </c>
      <c r="Q30" s="55" t="s">
        <v>103</v>
      </c>
      <c r="R30" s="53">
        <v>6631.77</v>
      </c>
      <c r="S30" s="54">
        <v>46056</v>
      </c>
      <c r="T30" s="49" t="s">
        <v>32</v>
      </c>
      <c r="U30" s="53" t="s">
        <v>34</v>
      </c>
      <c r="V30" s="53" t="s">
        <v>34</v>
      </c>
      <c r="W30" s="49" t="s">
        <v>34</v>
      </c>
      <c r="X30" s="56">
        <v>0</v>
      </c>
      <c r="Y30" s="49" t="s">
        <v>34</v>
      </c>
      <c r="Z30" s="53"/>
      <c r="AA30" s="172" t="s">
        <v>35</v>
      </c>
      <c r="AB30" s="4"/>
      <c r="AC30" s="4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</row>
    <row r="31" spans="1:1006" x14ac:dyDescent="0.25">
      <c r="A31" s="171" t="s">
        <v>27</v>
      </c>
      <c r="B31" s="73" t="s">
        <v>104</v>
      </c>
      <c r="C31" s="125" t="s">
        <v>104</v>
      </c>
      <c r="D31" s="81" t="s">
        <v>105</v>
      </c>
      <c r="E31" s="49" t="s">
        <v>30</v>
      </c>
      <c r="F31" s="50">
        <v>27500</v>
      </c>
      <c r="G31" s="74">
        <v>27500</v>
      </c>
      <c r="H31" s="49" t="s">
        <v>31</v>
      </c>
      <c r="I31" s="52">
        <v>933381940</v>
      </c>
      <c r="J31" s="53">
        <f>1399+7</f>
        <v>1406</v>
      </c>
      <c r="K31" s="54">
        <v>46027</v>
      </c>
      <c r="L31" s="49" t="s">
        <v>32</v>
      </c>
      <c r="M31" s="55">
        <v>5000010408</v>
      </c>
      <c r="N31" s="53">
        <v>800</v>
      </c>
      <c r="O31" s="54">
        <v>46049</v>
      </c>
      <c r="P31" s="49" t="s">
        <v>32</v>
      </c>
      <c r="Q31" s="55" t="s">
        <v>106</v>
      </c>
      <c r="R31" s="53">
        <v>8136.58</v>
      </c>
      <c r="S31" s="54">
        <v>46055</v>
      </c>
      <c r="T31" s="49" t="s">
        <v>32</v>
      </c>
      <c r="U31" s="53" t="s">
        <v>34</v>
      </c>
      <c r="V31" s="53" t="s">
        <v>34</v>
      </c>
      <c r="W31" s="49" t="s">
        <v>34</v>
      </c>
      <c r="X31" s="56">
        <v>0</v>
      </c>
      <c r="Y31" s="49" t="s">
        <v>34</v>
      </c>
      <c r="Z31" s="53"/>
      <c r="AA31" s="172" t="s">
        <v>35</v>
      </c>
      <c r="AB31" s="4"/>
      <c r="AC31" s="4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</row>
    <row r="32" spans="1:1006" x14ac:dyDescent="0.25">
      <c r="A32" s="171" t="s">
        <v>27</v>
      </c>
      <c r="B32" s="61" t="s">
        <v>107</v>
      </c>
      <c r="C32" s="123" t="s">
        <v>562</v>
      </c>
      <c r="D32" s="81" t="s">
        <v>108</v>
      </c>
      <c r="E32" s="49" t="s">
        <v>30</v>
      </c>
      <c r="F32" s="50">
        <v>15000</v>
      </c>
      <c r="G32" s="51">
        <v>15000</v>
      </c>
      <c r="H32" s="49" t="s">
        <v>31</v>
      </c>
      <c r="I32" s="52">
        <v>934450067</v>
      </c>
      <c r="J32" s="53">
        <f>1399+7</f>
        <v>1406</v>
      </c>
      <c r="K32" s="54">
        <v>46027</v>
      </c>
      <c r="L32" s="49" t="s">
        <v>32</v>
      </c>
      <c r="M32" s="55">
        <v>5000010210</v>
      </c>
      <c r="N32" s="53">
        <v>560</v>
      </c>
      <c r="O32" s="54">
        <v>46049</v>
      </c>
      <c r="P32" s="49" t="s">
        <v>32</v>
      </c>
      <c r="Q32" s="55" t="s">
        <v>109</v>
      </c>
      <c r="R32" s="53">
        <v>4153.29</v>
      </c>
      <c r="S32" s="54">
        <v>46055</v>
      </c>
      <c r="T32" s="49" t="s">
        <v>32</v>
      </c>
      <c r="U32" s="53" t="s">
        <v>34</v>
      </c>
      <c r="V32" s="53" t="s">
        <v>34</v>
      </c>
      <c r="W32" s="49" t="s">
        <v>34</v>
      </c>
      <c r="X32" s="56">
        <v>0</v>
      </c>
      <c r="Y32" s="49" t="s">
        <v>34</v>
      </c>
      <c r="Z32" s="53"/>
      <c r="AA32" s="172" t="s">
        <v>35</v>
      </c>
      <c r="AB32" s="4"/>
      <c r="AC32" s="4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</row>
    <row r="33" spans="1:1006" x14ac:dyDescent="0.25">
      <c r="A33" s="171" t="s">
        <v>27</v>
      </c>
      <c r="B33" s="61" t="s">
        <v>110</v>
      </c>
      <c r="C33" s="123" t="s">
        <v>547</v>
      </c>
      <c r="D33" s="81" t="s">
        <v>111</v>
      </c>
      <c r="E33" s="49" t="s">
        <v>30</v>
      </c>
      <c r="F33" s="50">
        <v>18000</v>
      </c>
      <c r="G33" s="51">
        <v>18000</v>
      </c>
      <c r="H33" s="49" t="s">
        <v>31</v>
      </c>
      <c r="I33" s="52">
        <v>931687587</v>
      </c>
      <c r="J33" s="53">
        <f>1299+7</f>
        <v>1306</v>
      </c>
      <c r="K33" s="54">
        <v>46048</v>
      </c>
      <c r="L33" s="49" t="s">
        <v>32</v>
      </c>
      <c r="M33" s="55">
        <v>5000200815</v>
      </c>
      <c r="N33" s="53">
        <v>400</v>
      </c>
      <c r="O33" s="54">
        <v>46049</v>
      </c>
      <c r="P33" s="49" t="s">
        <v>32</v>
      </c>
      <c r="Q33" s="55" t="s">
        <v>112</v>
      </c>
      <c r="R33" s="53">
        <v>4305.0200000000004</v>
      </c>
      <c r="S33" s="54">
        <v>46054</v>
      </c>
      <c r="T33" s="49" t="s">
        <v>32</v>
      </c>
      <c r="U33" s="53" t="s">
        <v>34</v>
      </c>
      <c r="V33" s="53" t="s">
        <v>34</v>
      </c>
      <c r="W33" s="49" t="s">
        <v>34</v>
      </c>
      <c r="X33" s="56">
        <v>0</v>
      </c>
      <c r="Y33" s="49" t="s">
        <v>34</v>
      </c>
      <c r="Z33" s="53"/>
      <c r="AA33" s="172" t="s">
        <v>35</v>
      </c>
      <c r="AB33" s="4"/>
      <c r="AC33" s="4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</row>
    <row r="34" spans="1:1006" x14ac:dyDescent="0.25">
      <c r="A34" s="171" t="s">
        <v>27</v>
      </c>
      <c r="B34" s="72" t="s">
        <v>113</v>
      </c>
      <c r="C34" s="123" t="s">
        <v>563</v>
      </c>
      <c r="D34" s="81" t="s">
        <v>114</v>
      </c>
      <c r="E34" s="49" t="s">
        <v>38</v>
      </c>
      <c r="F34" s="67" t="s">
        <v>34</v>
      </c>
      <c r="G34" s="68" t="s">
        <v>34</v>
      </c>
      <c r="H34" s="49" t="s">
        <v>31</v>
      </c>
      <c r="I34" s="52">
        <v>934544059</v>
      </c>
      <c r="J34" s="53">
        <f>1600+7</f>
        <v>1607</v>
      </c>
      <c r="K34" s="54">
        <v>46048</v>
      </c>
      <c r="L34" s="49" t="s">
        <v>32</v>
      </c>
      <c r="M34" s="55">
        <v>5000020703</v>
      </c>
      <c r="N34" s="53">
        <v>400</v>
      </c>
      <c r="O34" s="54">
        <v>46049</v>
      </c>
      <c r="P34" s="49" t="s">
        <v>32</v>
      </c>
      <c r="Q34" s="55" t="s">
        <v>115</v>
      </c>
      <c r="R34" s="53">
        <v>3002.55</v>
      </c>
      <c r="S34" s="54">
        <v>46054</v>
      </c>
      <c r="T34" s="49" t="s">
        <v>32</v>
      </c>
      <c r="U34" s="53">
        <v>4289.5</v>
      </c>
      <c r="V34" s="54">
        <v>46049</v>
      </c>
      <c r="W34" s="49" t="s">
        <v>32</v>
      </c>
      <c r="X34" s="56">
        <v>0</v>
      </c>
      <c r="Y34" s="49" t="s">
        <v>34</v>
      </c>
      <c r="Z34" s="53"/>
      <c r="AA34" s="172" t="s">
        <v>40</v>
      </c>
      <c r="AB34" s="4"/>
      <c r="AC34" s="4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</row>
    <row r="35" spans="1:1006" x14ac:dyDescent="0.25">
      <c r="A35" s="171" t="s">
        <v>27</v>
      </c>
      <c r="B35" s="55" t="s">
        <v>461</v>
      </c>
      <c r="C35" s="123" t="s">
        <v>548</v>
      </c>
      <c r="D35" s="81" t="s">
        <v>116</v>
      </c>
      <c r="E35" s="49" t="s">
        <v>38</v>
      </c>
      <c r="F35" s="67" t="s">
        <v>34</v>
      </c>
      <c r="G35" s="68" t="s">
        <v>34</v>
      </c>
      <c r="H35" s="49" t="s">
        <v>31</v>
      </c>
      <c r="I35" s="52">
        <v>933724405</v>
      </c>
      <c r="J35" s="53">
        <f>999+112+7</f>
        <v>1118</v>
      </c>
      <c r="K35" s="54">
        <v>46036</v>
      </c>
      <c r="L35" s="49" t="s">
        <v>32</v>
      </c>
      <c r="M35" s="55">
        <v>5000200209</v>
      </c>
      <c r="N35" s="53">
        <v>240</v>
      </c>
      <c r="O35" s="54">
        <v>46049</v>
      </c>
      <c r="P35" s="49" t="s">
        <v>32</v>
      </c>
      <c r="Q35" s="55" t="s">
        <v>117</v>
      </c>
      <c r="R35" s="53">
        <v>2231.23</v>
      </c>
      <c r="S35" s="54">
        <v>46054</v>
      </c>
      <c r="T35" s="49" t="s">
        <v>32</v>
      </c>
      <c r="U35" s="53">
        <v>2677.2</v>
      </c>
      <c r="V35" s="54">
        <v>46049</v>
      </c>
      <c r="W35" s="49" t="s">
        <v>32</v>
      </c>
      <c r="X35" s="56">
        <v>0</v>
      </c>
      <c r="Y35" s="49" t="s">
        <v>34</v>
      </c>
      <c r="Z35" s="53"/>
      <c r="AA35" s="172"/>
      <c r="AB35" s="4"/>
      <c r="AC35" s="4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</row>
    <row r="36" spans="1:1006" x14ac:dyDescent="0.25">
      <c r="A36" s="174" t="s">
        <v>27</v>
      </c>
      <c r="B36" s="55" t="s">
        <v>118</v>
      </c>
      <c r="C36" s="123" t="s">
        <v>564</v>
      </c>
      <c r="D36" s="81" t="s">
        <v>108</v>
      </c>
      <c r="E36" s="55" t="s">
        <v>38</v>
      </c>
      <c r="F36" s="67" t="s">
        <v>34</v>
      </c>
      <c r="G36" s="68" t="s">
        <v>34</v>
      </c>
      <c r="H36" s="49" t="s">
        <v>31</v>
      </c>
      <c r="I36" s="75">
        <v>934750931</v>
      </c>
      <c r="J36" s="53">
        <f>1399+7</f>
        <v>1406</v>
      </c>
      <c r="K36" s="54">
        <v>46033</v>
      </c>
      <c r="L36" s="49" t="s">
        <v>32</v>
      </c>
      <c r="M36" s="55">
        <v>5000100306</v>
      </c>
      <c r="N36" s="53">
        <v>480</v>
      </c>
      <c r="O36" s="54">
        <v>46049</v>
      </c>
      <c r="P36" s="49" t="s">
        <v>32</v>
      </c>
      <c r="Q36" s="55" t="s">
        <v>119</v>
      </c>
      <c r="R36" s="53">
        <v>2117.42</v>
      </c>
      <c r="S36" s="54">
        <v>46055</v>
      </c>
      <c r="T36" s="49" t="s">
        <v>32</v>
      </c>
      <c r="U36" s="53">
        <v>2576</v>
      </c>
      <c r="V36" s="54">
        <v>46049</v>
      </c>
      <c r="W36" s="49" t="s">
        <v>32</v>
      </c>
      <c r="X36" s="56">
        <v>0</v>
      </c>
      <c r="Y36" s="49" t="s">
        <v>34</v>
      </c>
      <c r="Z36" s="76"/>
      <c r="AA36" s="172" t="s">
        <v>40</v>
      </c>
      <c r="AB36" s="4"/>
      <c r="AC36" s="4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</row>
    <row r="37" spans="1:1006" x14ac:dyDescent="0.25">
      <c r="A37" s="171" t="s">
        <v>27</v>
      </c>
      <c r="B37" s="61" t="s">
        <v>120</v>
      </c>
      <c r="C37" s="123" t="s">
        <v>549</v>
      </c>
      <c r="D37" s="81" t="s">
        <v>121</v>
      </c>
      <c r="E37" s="49" t="s">
        <v>30</v>
      </c>
      <c r="F37" s="50">
        <v>17500</v>
      </c>
      <c r="G37" s="51">
        <v>17500</v>
      </c>
      <c r="H37" s="49" t="s">
        <v>31</v>
      </c>
      <c r="I37" s="52">
        <v>932014133</v>
      </c>
      <c r="J37" s="53">
        <f>1299+7</f>
        <v>1306</v>
      </c>
      <c r="K37" s="54">
        <v>46048</v>
      </c>
      <c r="L37" s="49" t="s">
        <v>32</v>
      </c>
      <c r="M37" s="55">
        <v>5000201008</v>
      </c>
      <c r="N37" s="53">
        <v>480</v>
      </c>
      <c r="O37" s="54">
        <v>46049</v>
      </c>
      <c r="P37" s="49" t="s">
        <v>32</v>
      </c>
      <c r="Q37" s="55" t="s">
        <v>122</v>
      </c>
      <c r="R37" s="53">
        <v>3698.08</v>
      </c>
      <c r="S37" s="54">
        <v>46054</v>
      </c>
      <c r="T37" s="49" t="s">
        <v>32</v>
      </c>
      <c r="U37" s="53" t="s">
        <v>34</v>
      </c>
      <c r="V37" s="53" t="s">
        <v>34</v>
      </c>
      <c r="W37" s="49" t="s">
        <v>34</v>
      </c>
      <c r="X37" s="56">
        <v>0</v>
      </c>
      <c r="Y37" s="49" t="s">
        <v>34</v>
      </c>
      <c r="Z37" s="53"/>
      <c r="AA37" s="172" t="s">
        <v>35</v>
      </c>
      <c r="AB37" s="4"/>
      <c r="AC37" s="4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</row>
    <row r="38" spans="1:1006" x14ac:dyDescent="0.25">
      <c r="A38" s="171" t="s">
        <v>27</v>
      </c>
      <c r="B38" s="48" t="s">
        <v>123</v>
      </c>
      <c r="C38" s="123" t="s">
        <v>550</v>
      </c>
      <c r="D38" s="81" t="s">
        <v>124</v>
      </c>
      <c r="E38" s="49" t="s">
        <v>30</v>
      </c>
      <c r="F38" s="50">
        <v>11000</v>
      </c>
      <c r="G38" s="51">
        <v>11000</v>
      </c>
      <c r="H38" s="49" t="s">
        <v>125</v>
      </c>
      <c r="I38" s="52" t="s">
        <v>34</v>
      </c>
      <c r="J38" s="53">
        <v>0</v>
      </c>
      <c r="K38" s="54" t="s">
        <v>34</v>
      </c>
      <c r="L38" s="49" t="s">
        <v>34</v>
      </c>
      <c r="M38" s="55">
        <v>5000201021</v>
      </c>
      <c r="N38" s="53">
        <v>0</v>
      </c>
      <c r="O38" s="54">
        <v>46049</v>
      </c>
      <c r="P38" s="49" t="s">
        <v>34</v>
      </c>
      <c r="Q38" s="55" t="s">
        <v>126</v>
      </c>
      <c r="R38" s="53">
        <v>2294.44</v>
      </c>
      <c r="S38" s="54">
        <v>46054</v>
      </c>
      <c r="T38" s="49" t="s">
        <v>32</v>
      </c>
      <c r="U38" s="53" t="s">
        <v>34</v>
      </c>
      <c r="V38" s="53" t="s">
        <v>34</v>
      </c>
      <c r="W38" s="49" t="s">
        <v>34</v>
      </c>
      <c r="X38" s="56">
        <v>0</v>
      </c>
      <c r="Y38" s="49" t="s">
        <v>34</v>
      </c>
      <c r="Z38" s="53"/>
      <c r="AA38" s="172" t="s">
        <v>60</v>
      </c>
      <c r="AB38" s="4"/>
      <c r="AC38" s="4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</row>
    <row r="39" spans="1:1006" x14ac:dyDescent="0.25">
      <c r="A39" s="171" t="s">
        <v>27</v>
      </c>
      <c r="B39" s="55" t="s">
        <v>128</v>
      </c>
      <c r="C39" s="123" t="s">
        <v>551</v>
      </c>
      <c r="D39" s="81" t="s">
        <v>129</v>
      </c>
      <c r="E39" s="49" t="s">
        <v>38</v>
      </c>
      <c r="F39" s="49" t="s">
        <v>34</v>
      </c>
      <c r="G39" s="57" t="s">
        <v>34</v>
      </c>
      <c r="H39" s="52" t="s">
        <v>130</v>
      </c>
      <c r="I39" s="53" t="s">
        <v>34</v>
      </c>
      <c r="J39" s="53">
        <v>0</v>
      </c>
      <c r="K39" s="54" t="s">
        <v>34</v>
      </c>
      <c r="L39" s="49" t="s">
        <v>34</v>
      </c>
      <c r="M39" s="55">
        <v>5000010704</v>
      </c>
      <c r="N39" s="53">
        <v>880</v>
      </c>
      <c r="O39" s="54">
        <v>46049</v>
      </c>
      <c r="P39" s="49" t="s">
        <v>32</v>
      </c>
      <c r="Q39" s="55" t="s">
        <v>131</v>
      </c>
      <c r="R39" s="53">
        <v>3533.66</v>
      </c>
      <c r="S39" s="54">
        <v>46054</v>
      </c>
      <c r="T39" s="49" t="s">
        <v>32</v>
      </c>
      <c r="U39" s="53">
        <v>5747.35</v>
      </c>
      <c r="V39" s="54">
        <v>46049</v>
      </c>
      <c r="W39" s="49" t="s">
        <v>32</v>
      </c>
      <c r="X39" s="56"/>
      <c r="Y39" s="49" t="s">
        <v>34</v>
      </c>
      <c r="Z39" s="53"/>
      <c r="AA39" s="172" t="s">
        <v>60</v>
      </c>
      <c r="AB39" s="4"/>
      <c r="AC39" s="4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</row>
    <row r="40" spans="1:1006" x14ac:dyDescent="0.25">
      <c r="A40" s="171" t="s">
        <v>27</v>
      </c>
      <c r="B40" s="55" t="s">
        <v>132</v>
      </c>
      <c r="C40" s="123" t="s">
        <v>565</v>
      </c>
      <c r="D40" s="81" t="s">
        <v>133</v>
      </c>
      <c r="E40" s="49" t="s">
        <v>38</v>
      </c>
      <c r="F40" s="67" t="s">
        <v>34</v>
      </c>
      <c r="G40" s="68" t="s">
        <v>34</v>
      </c>
      <c r="H40" s="49" t="s">
        <v>31</v>
      </c>
      <c r="I40" s="52">
        <v>934794780</v>
      </c>
      <c r="J40" s="53">
        <f>1099+7</f>
        <v>1106</v>
      </c>
      <c r="K40" s="54">
        <v>46048</v>
      </c>
      <c r="L40" s="49" t="s">
        <v>32</v>
      </c>
      <c r="M40" s="55">
        <v>5000020203</v>
      </c>
      <c r="N40" s="53">
        <v>0</v>
      </c>
      <c r="O40" s="54">
        <v>46049</v>
      </c>
      <c r="P40" s="49" t="s">
        <v>34</v>
      </c>
      <c r="Q40" s="55" t="s">
        <v>134</v>
      </c>
      <c r="R40" s="53">
        <v>1738.02</v>
      </c>
      <c r="S40" s="54">
        <v>46054</v>
      </c>
      <c r="T40" s="49" t="s">
        <v>32</v>
      </c>
      <c r="U40" s="53">
        <v>4289.5</v>
      </c>
      <c r="V40" s="54">
        <v>46049</v>
      </c>
      <c r="W40" s="49" t="s">
        <v>32</v>
      </c>
      <c r="X40" s="56"/>
      <c r="Y40" s="49" t="s">
        <v>34</v>
      </c>
      <c r="Z40" s="53"/>
      <c r="AA40" s="172" t="s">
        <v>40</v>
      </c>
      <c r="AB40" s="4"/>
      <c r="AC40" s="4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</row>
    <row r="41" spans="1:1006" x14ac:dyDescent="0.25">
      <c r="A41" s="171" t="s">
        <v>27</v>
      </c>
      <c r="B41" s="55" t="s">
        <v>135</v>
      </c>
      <c r="C41" s="123" t="s">
        <v>530</v>
      </c>
      <c r="D41" s="81" t="s">
        <v>136</v>
      </c>
      <c r="E41" s="49" t="s">
        <v>38</v>
      </c>
      <c r="F41" s="49" t="s">
        <v>34</v>
      </c>
      <c r="G41" s="57" t="s">
        <v>34</v>
      </c>
      <c r="H41" s="49" t="s">
        <v>66</v>
      </c>
      <c r="I41" s="52" t="s">
        <v>389</v>
      </c>
      <c r="J41" s="53">
        <v>999</v>
      </c>
      <c r="K41" s="54">
        <v>46034</v>
      </c>
      <c r="L41" s="49" t="s">
        <v>32</v>
      </c>
      <c r="M41" s="55">
        <v>5000100501</v>
      </c>
      <c r="N41" s="53">
        <v>320</v>
      </c>
      <c r="O41" s="54">
        <v>46049</v>
      </c>
      <c r="P41" s="49" t="s">
        <v>32</v>
      </c>
      <c r="Q41" s="55" t="s">
        <v>137</v>
      </c>
      <c r="R41" s="53">
        <v>4165.9399999999996</v>
      </c>
      <c r="S41" s="54">
        <v>46055</v>
      </c>
      <c r="T41" s="49" t="s">
        <v>32</v>
      </c>
      <c r="U41" s="53">
        <v>4310.2</v>
      </c>
      <c r="V41" s="54">
        <v>46049</v>
      </c>
      <c r="W41" s="49" t="s">
        <v>32</v>
      </c>
      <c r="X41" s="56">
        <v>0</v>
      </c>
      <c r="Y41" s="49" t="s">
        <v>34</v>
      </c>
      <c r="Z41" s="53"/>
      <c r="AA41" s="172"/>
      <c r="AB41" s="4"/>
      <c r="AC41" s="4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</row>
    <row r="42" spans="1:1006" x14ac:dyDescent="0.25">
      <c r="A42" s="171" t="s">
        <v>27</v>
      </c>
      <c r="B42" s="77" t="s">
        <v>462</v>
      </c>
      <c r="C42" s="123" t="s">
        <v>536</v>
      </c>
      <c r="D42" s="81" t="s">
        <v>493</v>
      </c>
      <c r="E42" s="49" t="s">
        <v>38</v>
      </c>
      <c r="F42" s="49"/>
      <c r="G42" s="57"/>
      <c r="H42" s="49"/>
      <c r="I42" s="52"/>
      <c r="J42" s="53"/>
      <c r="K42" s="54"/>
      <c r="L42" s="49" t="s">
        <v>34</v>
      </c>
      <c r="M42" s="55"/>
      <c r="N42" s="53">
        <v>637.72</v>
      </c>
      <c r="O42" s="54">
        <v>46049</v>
      </c>
      <c r="P42" s="49" t="s">
        <v>32</v>
      </c>
      <c r="Q42" s="55" t="s">
        <v>501</v>
      </c>
      <c r="R42" s="53">
        <v>3887.42</v>
      </c>
      <c r="S42" s="54">
        <v>46055</v>
      </c>
      <c r="T42" s="49" t="s">
        <v>32</v>
      </c>
      <c r="U42" s="53">
        <v>2576</v>
      </c>
      <c r="V42" s="54">
        <v>46049</v>
      </c>
      <c r="W42" s="49" t="s">
        <v>32</v>
      </c>
      <c r="X42" s="56"/>
      <c r="Y42" s="49" t="s">
        <v>34</v>
      </c>
      <c r="Z42" s="53"/>
      <c r="AA42" s="172"/>
      <c r="AB42" s="4"/>
      <c r="AC42" s="4"/>
      <c r="AD42" s="5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</row>
    <row r="43" spans="1:1006" x14ac:dyDescent="0.25">
      <c r="A43" s="171" t="s">
        <v>138</v>
      </c>
      <c r="B43" s="55" t="s">
        <v>139</v>
      </c>
      <c r="C43" s="123" t="s">
        <v>580</v>
      </c>
      <c r="D43" s="81" t="s">
        <v>140</v>
      </c>
      <c r="E43" s="49" t="s">
        <v>38</v>
      </c>
      <c r="F43" s="67" t="s">
        <v>34</v>
      </c>
      <c r="G43" s="68" t="s">
        <v>34</v>
      </c>
      <c r="H43" s="49" t="s">
        <v>31</v>
      </c>
      <c r="I43" s="52">
        <v>932202457</v>
      </c>
      <c r="J43" s="53">
        <f>1499+7</f>
        <v>1506</v>
      </c>
      <c r="K43" s="54">
        <v>46030</v>
      </c>
      <c r="L43" s="49" t="s">
        <v>32</v>
      </c>
      <c r="M43" s="55"/>
      <c r="N43" s="53">
        <v>301</v>
      </c>
      <c r="O43" s="54">
        <v>46042</v>
      </c>
      <c r="P43" s="49" t="s">
        <v>32</v>
      </c>
      <c r="Q43" s="55" t="s">
        <v>141</v>
      </c>
      <c r="R43" s="53">
        <v>3103.75</v>
      </c>
      <c r="S43" s="54">
        <v>46054</v>
      </c>
      <c r="T43" s="49" t="s">
        <v>32</v>
      </c>
      <c r="U43" s="53">
        <v>7540</v>
      </c>
      <c r="V43" s="54">
        <v>46042</v>
      </c>
      <c r="W43" s="49" t="s">
        <v>32</v>
      </c>
      <c r="X43" s="56"/>
      <c r="Y43" s="49" t="s">
        <v>34</v>
      </c>
      <c r="Z43" s="53"/>
      <c r="AA43" s="172" t="s">
        <v>40</v>
      </c>
      <c r="AB43" s="5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</row>
    <row r="44" spans="1:1006" x14ac:dyDescent="0.25">
      <c r="A44" s="171" t="s">
        <v>138</v>
      </c>
      <c r="B44" s="55" t="s">
        <v>464</v>
      </c>
      <c r="C44" s="123" t="s">
        <v>586</v>
      </c>
      <c r="D44" s="81" t="s">
        <v>409</v>
      </c>
      <c r="E44" s="49" t="s">
        <v>38</v>
      </c>
      <c r="F44" s="67"/>
      <c r="G44" s="68"/>
      <c r="H44" s="49" t="s">
        <v>31</v>
      </c>
      <c r="I44" s="52">
        <v>928718895</v>
      </c>
      <c r="J44" s="53">
        <f>1599+7</f>
        <v>1606</v>
      </c>
      <c r="K44" s="54">
        <v>46026</v>
      </c>
      <c r="L44" s="49" t="s">
        <v>32</v>
      </c>
      <c r="M44" s="55"/>
      <c r="N44" s="53">
        <v>172</v>
      </c>
      <c r="O44" s="54">
        <v>46042</v>
      </c>
      <c r="P44" s="49" t="s">
        <v>32</v>
      </c>
      <c r="Q44" s="55" t="s">
        <v>450</v>
      </c>
      <c r="R44" s="53">
        <v>1864.49</v>
      </c>
      <c r="S44" s="54">
        <v>46054</v>
      </c>
      <c r="T44" s="49" t="s">
        <v>32</v>
      </c>
      <c r="U44" s="53">
        <v>3842.5</v>
      </c>
      <c r="V44" s="54">
        <v>46042</v>
      </c>
      <c r="W44" s="49" t="s">
        <v>32</v>
      </c>
      <c r="X44" s="56"/>
      <c r="Y44" s="49" t="s">
        <v>34</v>
      </c>
      <c r="Z44" s="53"/>
      <c r="AA44" s="172"/>
      <c r="AB44" s="5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</row>
    <row r="45" spans="1:1006" x14ac:dyDescent="0.25">
      <c r="A45" s="171" t="s">
        <v>138</v>
      </c>
      <c r="B45" s="55" t="s">
        <v>466</v>
      </c>
      <c r="C45" s="123" t="s">
        <v>576</v>
      </c>
      <c r="D45" s="81" t="s">
        <v>347</v>
      </c>
      <c r="E45" s="49" t="s">
        <v>38</v>
      </c>
      <c r="F45" s="67" t="s">
        <v>34</v>
      </c>
      <c r="G45" s="68" t="s">
        <v>34</v>
      </c>
      <c r="H45" s="49" t="s">
        <v>142</v>
      </c>
      <c r="I45" s="52" t="s">
        <v>143</v>
      </c>
      <c r="J45" s="53">
        <f>1299+3</f>
        <v>1302</v>
      </c>
      <c r="K45" s="54">
        <v>46027</v>
      </c>
      <c r="L45" s="49" t="s">
        <v>32</v>
      </c>
      <c r="M45" s="55"/>
      <c r="N45" s="53">
        <v>301</v>
      </c>
      <c r="O45" s="54">
        <v>46042</v>
      </c>
      <c r="P45" s="49" t="s">
        <v>32</v>
      </c>
      <c r="Q45" s="55" t="s">
        <v>144</v>
      </c>
      <c r="R45" s="53">
        <v>3103.75</v>
      </c>
      <c r="S45" s="54">
        <v>46055</v>
      </c>
      <c r="T45" s="49" t="s">
        <v>32</v>
      </c>
      <c r="U45" s="53">
        <v>7540</v>
      </c>
      <c r="V45" s="54">
        <v>46042</v>
      </c>
      <c r="W45" s="49" t="s">
        <v>32</v>
      </c>
      <c r="X45" s="56">
        <v>0</v>
      </c>
      <c r="Y45" s="49" t="s">
        <v>193</v>
      </c>
      <c r="Z45" s="53"/>
      <c r="AA45" s="172"/>
      <c r="AB45" s="5"/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</row>
    <row r="46" spans="1:1006" x14ac:dyDescent="0.25">
      <c r="A46" s="171" t="s">
        <v>138</v>
      </c>
      <c r="B46" s="55" t="s">
        <v>370</v>
      </c>
      <c r="C46" s="125" t="s">
        <v>370</v>
      </c>
      <c r="D46" s="81" t="s">
        <v>371</v>
      </c>
      <c r="E46" s="49" t="s">
        <v>38</v>
      </c>
      <c r="F46" s="49" t="s">
        <v>34</v>
      </c>
      <c r="G46" s="57" t="s">
        <v>34</v>
      </c>
      <c r="H46" s="49" t="s">
        <v>145</v>
      </c>
      <c r="I46" s="52" t="s">
        <v>372</v>
      </c>
      <c r="J46" s="53">
        <f>799+2</f>
        <v>801</v>
      </c>
      <c r="K46" s="54">
        <v>46045</v>
      </c>
      <c r="L46" s="49" t="s">
        <v>32</v>
      </c>
      <c r="M46" s="55"/>
      <c r="N46" s="53">
        <v>301</v>
      </c>
      <c r="O46" s="54">
        <v>46042</v>
      </c>
      <c r="P46" s="49" t="s">
        <v>32</v>
      </c>
      <c r="Q46" s="55" t="s">
        <v>373</v>
      </c>
      <c r="R46" s="53">
        <v>1358.7</v>
      </c>
      <c r="S46" s="54">
        <v>46055</v>
      </c>
      <c r="T46" s="49" t="s">
        <v>32</v>
      </c>
      <c r="U46" s="53">
        <v>5582.5</v>
      </c>
      <c r="V46" s="54">
        <v>46042</v>
      </c>
      <c r="W46" s="49" t="s">
        <v>32</v>
      </c>
      <c r="X46" s="56"/>
      <c r="Y46" s="49" t="s">
        <v>34</v>
      </c>
      <c r="Z46" s="53"/>
      <c r="AA46" s="172" t="s">
        <v>40</v>
      </c>
      <c r="AB46" s="5"/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</row>
    <row r="47" spans="1:1006" ht="12.75" customHeight="1" x14ac:dyDescent="0.25">
      <c r="A47" s="171" t="s">
        <v>138</v>
      </c>
      <c r="B47" s="55" t="s">
        <v>146</v>
      </c>
      <c r="C47" s="123" t="s">
        <v>582</v>
      </c>
      <c r="D47" s="81" t="s">
        <v>147</v>
      </c>
      <c r="E47" s="49" t="s">
        <v>38</v>
      </c>
      <c r="F47" s="67" t="s">
        <v>34</v>
      </c>
      <c r="G47" s="68" t="s">
        <v>34</v>
      </c>
      <c r="H47" s="49" t="s">
        <v>31</v>
      </c>
      <c r="I47" s="52">
        <v>932878132</v>
      </c>
      <c r="J47" s="53">
        <f>1399+7</f>
        <v>1406</v>
      </c>
      <c r="K47" s="54">
        <v>46033</v>
      </c>
      <c r="L47" s="49" t="s">
        <v>32</v>
      </c>
      <c r="M47" s="55"/>
      <c r="N47" s="53">
        <v>258</v>
      </c>
      <c r="O47" s="54">
        <v>46042</v>
      </c>
      <c r="P47" s="49" t="s">
        <v>32</v>
      </c>
      <c r="Q47" s="55" t="s">
        <v>148</v>
      </c>
      <c r="R47" s="53">
        <v>2104.75</v>
      </c>
      <c r="S47" s="54">
        <v>46054</v>
      </c>
      <c r="T47" s="49" t="s">
        <v>32</v>
      </c>
      <c r="U47" s="53">
        <v>3842.5</v>
      </c>
      <c r="V47" s="54">
        <v>46042</v>
      </c>
      <c r="W47" s="49" t="s">
        <v>32</v>
      </c>
      <c r="X47" s="56"/>
      <c r="Y47" s="49" t="s">
        <v>34</v>
      </c>
      <c r="Z47" s="53"/>
      <c r="AA47" s="172" t="s">
        <v>40</v>
      </c>
      <c r="AB47" s="5"/>
      <c r="AC47" s="5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</row>
    <row r="48" spans="1:1006" x14ac:dyDescent="0.25">
      <c r="A48" s="171" t="s">
        <v>138</v>
      </c>
      <c r="B48" s="55" t="s">
        <v>149</v>
      </c>
      <c r="C48" s="123" t="s">
        <v>588</v>
      </c>
      <c r="D48" s="115" t="s">
        <v>147</v>
      </c>
      <c r="E48" s="49" t="s">
        <v>38</v>
      </c>
      <c r="F48" s="67" t="s">
        <v>34</v>
      </c>
      <c r="G48" s="68" t="s">
        <v>34</v>
      </c>
      <c r="H48" s="49" t="s">
        <v>150</v>
      </c>
      <c r="I48" s="52" t="s">
        <v>526</v>
      </c>
      <c r="J48" s="53">
        <f>1299+3</f>
        <v>1302</v>
      </c>
      <c r="K48" s="54">
        <v>46046</v>
      </c>
      <c r="L48" s="49" t="s">
        <v>32</v>
      </c>
      <c r="M48" s="55"/>
      <c r="N48" s="53">
        <v>344</v>
      </c>
      <c r="O48" s="54">
        <v>46042</v>
      </c>
      <c r="P48" s="49" t="s">
        <v>32</v>
      </c>
      <c r="Q48" s="55" t="s">
        <v>151</v>
      </c>
      <c r="R48" s="53">
        <v>3887.76</v>
      </c>
      <c r="S48" s="54">
        <v>46054</v>
      </c>
      <c r="T48" s="49" t="s">
        <v>32</v>
      </c>
      <c r="U48" s="53">
        <v>7685</v>
      </c>
      <c r="V48" s="54">
        <v>46042</v>
      </c>
      <c r="W48" s="49" t="s">
        <v>32</v>
      </c>
      <c r="X48" s="56"/>
      <c r="Y48" s="49" t="s">
        <v>34</v>
      </c>
      <c r="Z48" s="53"/>
      <c r="AA48" s="172" t="s">
        <v>40</v>
      </c>
      <c r="AB48" s="5"/>
      <c r="AC48" s="5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</row>
    <row r="49" spans="1:1006" x14ac:dyDescent="0.25">
      <c r="A49" s="171" t="s">
        <v>138</v>
      </c>
      <c r="B49" s="55" t="s">
        <v>152</v>
      </c>
      <c r="C49" s="123" t="s">
        <v>589</v>
      </c>
      <c r="D49" s="81" t="s">
        <v>153</v>
      </c>
      <c r="E49" s="49" t="s">
        <v>38</v>
      </c>
      <c r="F49" s="49" t="s">
        <v>34</v>
      </c>
      <c r="G49" s="57" t="s">
        <v>34</v>
      </c>
      <c r="H49" s="49" t="s">
        <v>150</v>
      </c>
      <c r="I49" s="52" t="s">
        <v>527</v>
      </c>
      <c r="J49" s="53">
        <f>1299+3</f>
        <v>1302</v>
      </c>
      <c r="K49" s="54">
        <v>46046</v>
      </c>
      <c r="L49" s="49" t="s">
        <v>32</v>
      </c>
      <c r="M49" s="55"/>
      <c r="N49" s="53">
        <v>430</v>
      </c>
      <c r="O49" s="54">
        <v>46042</v>
      </c>
      <c r="P49" s="49" t="s">
        <v>32</v>
      </c>
      <c r="Q49" s="55" t="s">
        <v>154</v>
      </c>
      <c r="R49" s="53">
        <v>2269.15</v>
      </c>
      <c r="S49" s="54">
        <v>46054</v>
      </c>
      <c r="T49" s="49" t="s">
        <v>32</v>
      </c>
      <c r="U49" s="53">
        <v>3842.5</v>
      </c>
      <c r="V49" s="54">
        <v>46042</v>
      </c>
      <c r="W49" s="49" t="s">
        <v>32</v>
      </c>
      <c r="X49" s="56"/>
      <c r="Y49" s="49" t="s">
        <v>34</v>
      </c>
      <c r="Z49" s="53"/>
      <c r="AA49" s="172" t="s">
        <v>40</v>
      </c>
      <c r="AB49" s="5"/>
      <c r="AC49" s="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</row>
    <row r="50" spans="1:1006" x14ac:dyDescent="0.25">
      <c r="A50" s="173" t="s">
        <v>138</v>
      </c>
      <c r="B50" s="78" t="s">
        <v>155</v>
      </c>
      <c r="C50" s="125" t="s">
        <v>155</v>
      </c>
      <c r="D50" s="81" t="s">
        <v>156</v>
      </c>
      <c r="E50" s="49" t="s">
        <v>38</v>
      </c>
      <c r="F50" s="49" t="s">
        <v>34</v>
      </c>
      <c r="G50" s="57" t="s">
        <v>34</v>
      </c>
      <c r="H50" s="49" t="s">
        <v>456</v>
      </c>
      <c r="I50" s="52" t="s">
        <v>500</v>
      </c>
      <c r="J50" s="53">
        <v>0</v>
      </c>
      <c r="K50" s="54">
        <v>46050</v>
      </c>
      <c r="L50" s="62" t="s">
        <v>504</v>
      </c>
      <c r="M50" s="55"/>
      <c r="N50" s="53">
        <v>344</v>
      </c>
      <c r="O50" s="54">
        <v>46042</v>
      </c>
      <c r="P50" s="49" t="s">
        <v>32</v>
      </c>
      <c r="Q50" s="55" t="s">
        <v>158</v>
      </c>
      <c r="R50" s="53">
        <v>2167.98</v>
      </c>
      <c r="S50" s="54">
        <v>46054</v>
      </c>
      <c r="T50" s="49" t="s">
        <v>32</v>
      </c>
      <c r="U50" s="53">
        <v>0</v>
      </c>
      <c r="V50" s="54">
        <v>46042</v>
      </c>
      <c r="W50" s="49" t="s">
        <v>504</v>
      </c>
      <c r="X50" s="56"/>
      <c r="Y50" s="49" t="s">
        <v>34</v>
      </c>
      <c r="Z50" s="53"/>
      <c r="AA50" s="172"/>
      <c r="AB50" s="5"/>
      <c r="AC50" s="5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</row>
    <row r="51" spans="1:1006" x14ac:dyDescent="0.25">
      <c r="A51" s="171" t="s">
        <v>138</v>
      </c>
      <c r="B51" s="55" t="s">
        <v>159</v>
      </c>
      <c r="C51" s="123" t="s">
        <v>571</v>
      </c>
      <c r="D51" s="81" t="s">
        <v>160</v>
      </c>
      <c r="E51" s="49" t="s">
        <v>38</v>
      </c>
      <c r="F51" s="49" t="s">
        <v>34</v>
      </c>
      <c r="G51" s="57" t="s">
        <v>34</v>
      </c>
      <c r="H51" s="49" t="s">
        <v>31</v>
      </c>
      <c r="I51" s="52">
        <v>928450419</v>
      </c>
      <c r="J51" s="53">
        <f>1299</f>
        <v>1299</v>
      </c>
      <c r="K51" s="54">
        <v>46035</v>
      </c>
      <c r="L51" s="49" t="s">
        <v>32</v>
      </c>
      <c r="M51" s="55"/>
      <c r="N51" s="53">
        <v>344</v>
      </c>
      <c r="O51" s="54">
        <v>46042</v>
      </c>
      <c r="P51" s="49" t="s">
        <v>32</v>
      </c>
      <c r="Q51" s="55" t="s">
        <v>161</v>
      </c>
      <c r="R51" s="53">
        <v>1851.86</v>
      </c>
      <c r="S51" s="54">
        <v>46054</v>
      </c>
      <c r="T51" s="49" t="s">
        <v>32</v>
      </c>
      <c r="U51" s="53">
        <v>3842.5</v>
      </c>
      <c r="V51" s="54">
        <v>46042</v>
      </c>
      <c r="W51" s="49" t="s">
        <v>32</v>
      </c>
      <c r="X51" s="56"/>
      <c r="Y51" s="49" t="s">
        <v>34</v>
      </c>
      <c r="Z51" s="53"/>
      <c r="AA51" s="172" t="s">
        <v>40</v>
      </c>
      <c r="AB51" s="5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</row>
    <row r="52" spans="1:1006" x14ac:dyDescent="0.25">
      <c r="A52" s="171" t="s">
        <v>138</v>
      </c>
      <c r="B52" s="55" t="s">
        <v>465</v>
      </c>
      <c r="C52" s="123" t="s">
        <v>602</v>
      </c>
      <c r="D52" s="81" t="s">
        <v>162</v>
      </c>
      <c r="E52" s="49" t="s">
        <v>38</v>
      </c>
      <c r="F52" s="49" t="s">
        <v>34</v>
      </c>
      <c r="G52" s="57" t="s">
        <v>34</v>
      </c>
      <c r="H52" s="49" t="s">
        <v>369</v>
      </c>
      <c r="I52" s="52">
        <v>932092307</v>
      </c>
      <c r="J52" s="53">
        <f>1299+7+1302</f>
        <v>2608</v>
      </c>
      <c r="K52" s="54">
        <v>46048</v>
      </c>
      <c r="L52" s="49" t="s">
        <v>32</v>
      </c>
      <c r="M52" s="55"/>
      <c r="N52" s="53">
        <v>258</v>
      </c>
      <c r="O52" s="54">
        <v>46042</v>
      </c>
      <c r="P52" s="49" t="s">
        <v>32</v>
      </c>
      <c r="Q52" s="55" t="s">
        <v>163</v>
      </c>
      <c r="R52" s="53">
        <v>2193.2800000000002</v>
      </c>
      <c r="S52" s="54">
        <v>46055</v>
      </c>
      <c r="T52" s="49" t="s">
        <v>32</v>
      </c>
      <c r="U52" s="53">
        <v>5075</v>
      </c>
      <c r="V52" s="54">
        <v>46042</v>
      </c>
      <c r="W52" s="49" t="s">
        <v>32</v>
      </c>
      <c r="X52" s="56"/>
      <c r="Y52" s="49" t="s">
        <v>34</v>
      </c>
      <c r="Z52" s="53"/>
      <c r="AA52" s="172"/>
      <c r="AB52" s="5"/>
      <c r="AC52" s="5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</row>
    <row r="53" spans="1:1006" x14ac:dyDescent="0.25">
      <c r="A53" s="171" t="s">
        <v>422</v>
      </c>
      <c r="B53" s="47" t="s">
        <v>422</v>
      </c>
      <c r="C53" s="123" t="s">
        <v>422</v>
      </c>
      <c r="D53" s="81" t="s">
        <v>147</v>
      </c>
      <c r="E53" s="49" t="s">
        <v>38</v>
      </c>
      <c r="F53" s="49" t="s">
        <v>34</v>
      </c>
      <c r="G53" s="57" t="s">
        <v>34</v>
      </c>
      <c r="H53" s="49" t="s">
        <v>424</v>
      </c>
      <c r="I53" s="52" t="s">
        <v>454</v>
      </c>
      <c r="J53" s="53">
        <v>790</v>
      </c>
      <c r="K53" s="54">
        <v>46023</v>
      </c>
      <c r="L53" s="49" t="s">
        <v>32</v>
      </c>
      <c r="M53" s="55"/>
      <c r="N53" s="53">
        <v>500</v>
      </c>
      <c r="O53" s="54">
        <v>46077</v>
      </c>
      <c r="P53" s="49"/>
      <c r="Q53" s="55" t="s">
        <v>451</v>
      </c>
      <c r="R53" s="53">
        <v>1288.4000000000001</v>
      </c>
      <c r="S53" s="54">
        <v>46061</v>
      </c>
      <c r="T53" s="49" t="s">
        <v>32</v>
      </c>
      <c r="U53" s="53"/>
      <c r="V53" s="54"/>
      <c r="W53" s="49" t="s">
        <v>34</v>
      </c>
      <c r="X53" s="56"/>
      <c r="Y53" s="49" t="s">
        <v>34</v>
      </c>
      <c r="Z53" s="53"/>
      <c r="AA53" s="172"/>
      <c r="AB53" s="5"/>
      <c r="AC53" s="5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</row>
    <row r="54" spans="1:1006" x14ac:dyDescent="0.25">
      <c r="A54" s="171" t="s">
        <v>164</v>
      </c>
      <c r="B54" s="55" t="s">
        <v>165</v>
      </c>
      <c r="C54" s="123" t="s">
        <v>583</v>
      </c>
      <c r="D54" s="81" t="s">
        <v>166</v>
      </c>
      <c r="E54" s="49" t="s">
        <v>38</v>
      </c>
      <c r="F54" s="49" t="s">
        <v>34</v>
      </c>
      <c r="G54" s="57" t="s">
        <v>34</v>
      </c>
      <c r="H54" s="49" t="s">
        <v>145</v>
      </c>
      <c r="I54" s="52" t="s">
        <v>167</v>
      </c>
      <c r="J54" s="53">
        <f>799+2</f>
        <v>801</v>
      </c>
      <c r="K54" s="54">
        <v>46043</v>
      </c>
      <c r="L54" s="49" t="s">
        <v>32</v>
      </c>
      <c r="M54" s="55"/>
      <c r="N54" s="53">
        <v>660.8</v>
      </c>
      <c r="O54" s="54">
        <v>46047</v>
      </c>
      <c r="P54" s="49" t="s">
        <v>32</v>
      </c>
      <c r="Q54" s="55" t="s">
        <v>168</v>
      </c>
      <c r="R54" s="53">
        <v>6846.73</v>
      </c>
      <c r="S54" s="54">
        <v>46054</v>
      </c>
      <c r="T54" s="49" t="s">
        <v>32</v>
      </c>
      <c r="U54" s="53">
        <v>4316</v>
      </c>
      <c r="V54" s="54">
        <v>46047</v>
      </c>
      <c r="W54" s="49" t="s">
        <v>32</v>
      </c>
      <c r="X54" s="56">
        <v>916.24</v>
      </c>
      <c r="Y54" s="49" t="s">
        <v>32</v>
      </c>
      <c r="Z54" s="53"/>
      <c r="AA54" s="172" t="s">
        <v>169</v>
      </c>
      <c r="AB54" s="5"/>
      <c r="AC54" s="5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</row>
    <row r="55" spans="1:1006" x14ac:dyDescent="0.25">
      <c r="A55" s="171" t="s">
        <v>164</v>
      </c>
      <c r="B55" s="55" t="s">
        <v>170</v>
      </c>
      <c r="C55" s="123" t="s">
        <v>568</v>
      </c>
      <c r="D55" s="81" t="s">
        <v>171</v>
      </c>
      <c r="E55" s="49" t="s">
        <v>38</v>
      </c>
      <c r="F55" s="49" t="s">
        <v>34</v>
      </c>
      <c r="G55" s="57" t="s">
        <v>34</v>
      </c>
      <c r="H55" s="49" t="s">
        <v>31</v>
      </c>
      <c r="I55" s="52">
        <v>932572991</v>
      </c>
      <c r="J55" s="53">
        <f>1299+7</f>
        <v>1306</v>
      </c>
      <c r="K55" s="54">
        <v>46036</v>
      </c>
      <c r="L55" s="49" t="s">
        <v>32</v>
      </c>
      <c r="M55" s="55"/>
      <c r="N55" s="53">
        <v>755.2</v>
      </c>
      <c r="O55" s="54">
        <v>46047</v>
      </c>
      <c r="P55" s="49" t="s">
        <v>32</v>
      </c>
      <c r="Q55" s="55" t="s">
        <v>172</v>
      </c>
      <c r="R55" s="53">
        <v>4798.21</v>
      </c>
      <c r="S55" s="54">
        <v>46054</v>
      </c>
      <c r="T55" s="49" t="s">
        <v>32</v>
      </c>
      <c r="U55" s="53">
        <v>4316</v>
      </c>
      <c r="V55" s="54">
        <v>46047</v>
      </c>
      <c r="W55" s="49" t="s">
        <v>32</v>
      </c>
      <c r="X55" s="56">
        <v>916.24</v>
      </c>
      <c r="Y55" s="49" t="s">
        <v>32</v>
      </c>
      <c r="Z55" s="53"/>
      <c r="AA55" s="172" t="s">
        <v>40</v>
      </c>
      <c r="AB55" s="5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</row>
    <row r="56" spans="1:1006" x14ac:dyDescent="0.25">
      <c r="A56" s="171" t="s">
        <v>164</v>
      </c>
      <c r="B56" s="55" t="s">
        <v>173</v>
      </c>
      <c r="C56" s="123" t="s">
        <v>584</v>
      </c>
      <c r="D56" s="81" t="s">
        <v>174</v>
      </c>
      <c r="E56" s="49" t="s">
        <v>38</v>
      </c>
      <c r="F56" s="49" t="s">
        <v>34</v>
      </c>
      <c r="G56" s="57" t="s">
        <v>34</v>
      </c>
      <c r="H56" s="49" t="s">
        <v>175</v>
      </c>
      <c r="I56" s="52" t="s">
        <v>176</v>
      </c>
      <c r="J56" s="53">
        <f>799+2</f>
        <v>801</v>
      </c>
      <c r="K56" s="54">
        <v>46043</v>
      </c>
      <c r="L56" s="49" t="s">
        <v>32</v>
      </c>
      <c r="M56" s="55"/>
      <c r="N56" s="53">
        <v>94.4</v>
      </c>
      <c r="O56" s="54">
        <v>46047</v>
      </c>
      <c r="P56" s="49" t="s">
        <v>32</v>
      </c>
      <c r="Q56" s="55" t="s">
        <v>177</v>
      </c>
      <c r="R56" s="53">
        <v>321.77</v>
      </c>
      <c r="S56" s="54">
        <v>46055</v>
      </c>
      <c r="T56" s="49" t="s">
        <v>32</v>
      </c>
      <c r="U56" s="53">
        <v>4316</v>
      </c>
      <c r="V56" s="54">
        <v>46047</v>
      </c>
      <c r="W56" s="49" t="s">
        <v>32</v>
      </c>
      <c r="X56" s="56">
        <v>916.24</v>
      </c>
      <c r="Y56" s="49" t="s">
        <v>32</v>
      </c>
      <c r="Z56" s="53"/>
      <c r="AA56" s="172" t="s">
        <v>40</v>
      </c>
      <c r="AB56" s="5"/>
      <c r="AC56" s="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</row>
    <row r="57" spans="1:1006" x14ac:dyDescent="0.25">
      <c r="A57" s="171" t="s">
        <v>164</v>
      </c>
      <c r="B57" s="55" t="s">
        <v>178</v>
      </c>
      <c r="C57" s="123" t="s">
        <v>592</v>
      </c>
      <c r="D57" s="81" t="s">
        <v>179</v>
      </c>
      <c r="E57" s="49" t="s">
        <v>38</v>
      </c>
      <c r="F57" s="49" t="s">
        <v>34</v>
      </c>
      <c r="G57" s="57" t="s">
        <v>34</v>
      </c>
      <c r="H57" s="49" t="s">
        <v>491</v>
      </c>
      <c r="I57" s="75" t="s">
        <v>492</v>
      </c>
      <c r="J57" s="76">
        <f>1299+7</f>
        <v>1306</v>
      </c>
      <c r="K57" s="54">
        <v>46033</v>
      </c>
      <c r="L57" s="49" t="s">
        <v>32</v>
      </c>
      <c r="M57" s="55"/>
      <c r="N57" s="53">
        <v>533.22</v>
      </c>
      <c r="O57" s="54">
        <v>46047</v>
      </c>
      <c r="P57" s="49" t="s">
        <v>32</v>
      </c>
      <c r="Q57" s="55" t="s">
        <v>180</v>
      </c>
      <c r="R57" s="53">
        <v>3609.54</v>
      </c>
      <c r="S57" s="54">
        <v>46055</v>
      </c>
      <c r="T57" s="49" t="s">
        <v>32</v>
      </c>
      <c r="U57" s="53">
        <v>3901</v>
      </c>
      <c r="V57" s="54">
        <v>46047</v>
      </c>
      <c r="W57" s="49" t="s">
        <v>32</v>
      </c>
      <c r="X57" s="56">
        <v>828.14</v>
      </c>
      <c r="Y57" s="49" t="s">
        <v>32</v>
      </c>
      <c r="Z57" s="76"/>
      <c r="AA57" s="172" t="s">
        <v>169</v>
      </c>
      <c r="AB57" s="5"/>
      <c r="AC57" s="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</row>
    <row r="58" spans="1:1006" x14ac:dyDescent="0.25">
      <c r="A58" s="171" t="s">
        <v>164</v>
      </c>
      <c r="B58" s="55" t="s">
        <v>181</v>
      </c>
      <c r="C58" s="123" t="s">
        <v>569</v>
      </c>
      <c r="D58" s="81" t="s">
        <v>182</v>
      </c>
      <c r="E58" s="49" t="s">
        <v>38</v>
      </c>
      <c r="F58" s="49" t="s">
        <v>34</v>
      </c>
      <c r="G58" s="57" t="s">
        <v>34</v>
      </c>
      <c r="H58" s="49" t="s">
        <v>31</v>
      </c>
      <c r="I58" s="75">
        <v>932352816</v>
      </c>
      <c r="J58" s="53">
        <f>1299+7</f>
        <v>1306</v>
      </c>
      <c r="K58" s="54">
        <v>46048</v>
      </c>
      <c r="L58" s="49" t="s">
        <v>32</v>
      </c>
      <c r="M58" s="55"/>
      <c r="N58" s="53">
        <v>0</v>
      </c>
      <c r="O58" s="54">
        <v>46047</v>
      </c>
      <c r="P58" s="49" t="s">
        <v>32</v>
      </c>
      <c r="Q58" s="55" t="s">
        <v>183</v>
      </c>
      <c r="R58" s="53">
        <v>5367.25</v>
      </c>
      <c r="S58" s="54">
        <v>46054</v>
      </c>
      <c r="T58" s="49" t="s">
        <v>32</v>
      </c>
      <c r="U58" s="53">
        <v>3901</v>
      </c>
      <c r="V58" s="54">
        <v>46047</v>
      </c>
      <c r="W58" s="49" t="s">
        <v>32</v>
      </c>
      <c r="X58" s="56">
        <v>828.14</v>
      </c>
      <c r="Y58" s="49" t="s">
        <v>32</v>
      </c>
      <c r="Z58" s="76"/>
      <c r="AA58" s="172" t="s">
        <v>40</v>
      </c>
      <c r="AB58" s="5"/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</row>
    <row r="59" spans="1:1006" x14ac:dyDescent="0.25">
      <c r="A59" s="171" t="s">
        <v>164</v>
      </c>
      <c r="B59" s="55" t="s">
        <v>467</v>
      </c>
      <c r="C59" s="123" t="s">
        <v>577</v>
      </c>
      <c r="D59" s="81" t="s">
        <v>366</v>
      </c>
      <c r="E59" s="49" t="s">
        <v>38</v>
      </c>
      <c r="F59" s="49" t="s">
        <v>34</v>
      </c>
      <c r="G59" s="57" t="s">
        <v>34</v>
      </c>
      <c r="H59" s="49" t="s">
        <v>374</v>
      </c>
      <c r="I59" s="52" t="s">
        <v>184</v>
      </c>
      <c r="J59" s="53">
        <v>1299</v>
      </c>
      <c r="K59" s="54">
        <v>46049</v>
      </c>
      <c r="L59" s="49" t="s">
        <v>32</v>
      </c>
      <c r="M59" s="55"/>
      <c r="N59" s="53">
        <v>977.57</v>
      </c>
      <c r="O59" s="54">
        <v>46047</v>
      </c>
      <c r="P59" s="49" t="s">
        <v>32</v>
      </c>
      <c r="Q59" s="55" t="s">
        <v>359</v>
      </c>
      <c r="R59" s="53">
        <v>5101.71</v>
      </c>
      <c r="S59" s="54">
        <v>46054</v>
      </c>
      <c r="T59" s="49" t="s">
        <v>32</v>
      </c>
      <c r="U59" s="53">
        <v>5229</v>
      </c>
      <c r="V59" s="54">
        <v>46047</v>
      </c>
      <c r="W59" s="49" t="s">
        <v>32</v>
      </c>
      <c r="X59" s="56">
        <v>1110.06</v>
      </c>
      <c r="Y59" s="49" t="s">
        <v>32</v>
      </c>
      <c r="Z59" s="76"/>
      <c r="AA59" s="172"/>
      <c r="AB59" s="5"/>
      <c r="AC59" s="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</row>
    <row r="60" spans="1:1006" x14ac:dyDescent="0.25">
      <c r="A60" s="171" t="s">
        <v>164</v>
      </c>
      <c r="B60" s="55" t="s">
        <v>468</v>
      </c>
      <c r="C60" s="123" t="s">
        <v>581</v>
      </c>
      <c r="D60" s="81" t="s">
        <v>199</v>
      </c>
      <c r="E60" s="49" t="s">
        <v>38</v>
      </c>
      <c r="F60" s="49" t="s">
        <v>34</v>
      </c>
      <c r="G60" s="57" t="s">
        <v>34</v>
      </c>
      <c r="H60" s="49" t="s">
        <v>190</v>
      </c>
      <c r="I60" s="52" t="s">
        <v>368</v>
      </c>
      <c r="J60" s="53">
        <v>1299</v>
      </c>
      <c r="K60" s="54">
        <v>46042</v>
      </c>
      <c r="L60" s="49" t="s">
        <v>32</v>
      </c>
      <c r="M60" s="55"/>
      <c r="N60" s="53">
        <v>0</v>
      </c>
      <c r="O60" s="54">
        <v>46047</v>
      </c>
      <c r="P60" s="49" t="s">
        <v>32</v>
      </c>
      <c r="Q60" s="55" t="s">
        <v>382</v>
      </c>
      <c r="R60" s="53">
        <v>6125.98</v>
      </c>
      <c r="S60" s="54">
        <v>46054</v>
      </c>
      <c r="T60" s="49" t="s">
        <v>32</v>
      </c>
      <c r="U60" s="53">
        <v>4316</v>
      </c>
      <c r="V60" s="54">
        <v>46047</v>
      </c>
      <c r="W60" s="49" t="s">
        <v>32</v>
      </c>
      <c r="X60" s="56">
        <v>916.24</v>
      </c>
      <c r="Y60" s="49" t="s">
        <v>32</v>
      </c>
      <c r="Z60" s="76"/>
      <c r="AA60" s="172"/>
      <c r="AB60" s="5"/>
      <c r="AC60" s="5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</row>
    <row r="61" spans="1:1006" x14ac:dyDescent="0.25">
      <c r="A61" s="171" t="s">
        <v>164</v>
      </c>
      <c r="B61" s="55" t="s">
        <v>361</v>
      </c>
      <c r="C61" s="123" t="s">
        <v>598</v>
      </c>
      <c r="D61" s="81" t="s">
        <v>199</v>
      </c>
      <c r="E61" s="49" t="s">
        <v>38</v>
      </c>
      <c r="F61" s="49" t="s">
        <v>34</v>
      </c>
      <c r="G61" s="57" t="s">
        <v>34</v>
      </c>
      <c r="H61" s="49" t="s">
        <v>190</v>
      </c>
      <c r="I61" s="52" t="s">
        <v>367</v>
      </c>
      <c r="J61" s="53">
        <v>1299</v>
      </c>
      <c r="K61" s="54">
        <v>46042</v>
      </c>
      <c r="L61" s="49" t="s">
        <v>32</v>
      </c>
      <c r="M61" s="55"/>
      <c r="N61" s="53">
        <v>533.22</v>
      </c>
      <c r="O61" s="54">
        <v>46047</v>
      </c>
      <c r="P61" s="49" t="s">
        <v>32</v>
      </c>
      <c r="Q61" s="55" t="s">
        <v>383</v>
      </c>
      <c r="R61" s="53">
        <v>1864.49</v>
      </c>
      <c r="S61" s="54">
        <v>46054</v>
      </c>
      <c r="T61" s="49" t="s">
        <v>32</v>
      </c>
      <c r="U61" s="53">
        <v>4316</v>
      </c>
      <c r="V61" s="54">
        <v>46047</v>
      </c>
      <c r="W61" s="49" t="s">
        <v>32</v>
      </c>
      <c r="X61" s="56">
        <v>916.24</v>
      </c>
      <c r="Y61" s="49" t="s">
        <v>32</v>
      </c>
      <c r="Z61" s="76"/>
      <c r="AA61" s="172"/>
      <c r="AB61" s="5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</row>
    <row r="62" spans="1:1006" x14ac:dyDescent="0.25">
      <c r="A62" s="171" t="s">
        <v>164</v>
      </c>
      <c r="B62" s="55" t="s">
        <v>469</v>
      </c>
      <c r="C62" s="123" t="s">
        <v>578</v>
      </c>
      <c r="D62" s="81" t="s">
        <v>387</v>
      </c>
      <c r="E62" s="49" t="s">
        <v>38</v>
      </c>
      <c r="F62" s="49" t="s">
        <v>34</v>
      </c>
      <c r="G62" s="57" t="s">
        <v>34</v>
      </c>
      <c r="H62" s="49" t="s">
        <v>456</v>
      </c>
      <c r="I62" s="52" t="s">
        <v>393</v>
      </c>
      <c r="J62" s="53">
        <v>1299</v>
      </c>
      <c r="K62" s="54">
        <v>46039</v>
      </c>
      <c r="L62" s="49" t="s">
        <v>32</v>
      </c>
      <c r="M62" s="55"/>
      <c r="N62" s="53">
        <v>622.09</v>
      </c>
      <c r="O62" s="54">
        <v>46047</v>
      </c>
      <c r="P62" s="49" t="s">
        <v>32</v>
      </c>
      <c r="Q62" s="55" t="s">
        <v>429</v>
      </c>
      <c r="R62" s="53">
        <v>4165.9399999999996</v>
      </c>
      <c r="S62" s="54">
        <v>46054</v>
      </c>
      <c r="T62" s="49" t="s">
        <v>32</v>
      </c>
      <c r="U62" s="53">
        <v>8632</v>
      </c>
      <c r="V62" s="54">
        <v>46047</v>
      </c>
      <c r="W62" s="49" t="s">
        <v>32</v>
      </c>
      <c r="X62" s="56">
        <v>1832.48</v>
      </c>
      <c r="Y62" s="49" t="s">
        <v>32</v>
      </c>
      <c r="Z62" s="76"/>
      <c r="AA62" s="172"/>
      <c r="AB62" s="5"/>
      <c r="AC62" s="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</row>
    <row r="63" spans="1:1006" x14ac:dyDescent="0.25">
      <c r="A63" s="173" t="s">
        <v>164</v>
      </c>
      <c r="B63" s="78" t="s">
        <v>486</v>
      </c>
      <c r="C63" s="123" t="s">
        <v>596</v>
      </c>
      <c r="D63" s="81" t="s">
        <v>174</v>
      </c>
      <c r="E63" s="49" t="s">
        <v>38</v>
      </c>
      <c r="F63" s="49" t="s">
        <v>34</v>
      </c>
      <c r="G63" s="57" t="s">
        <v>34</v>
      </c>
      <c r="H63" s="49" t="s">
        <v>375</v>
      </c>
      <c r="I63" s="52" t="s">
        <v>185</v>
      </c>
      <c r="J63" s="53">
        <f t="shared" ref="J63:J72" si="0">1299+3</f>
        <v>1302</v>
      </c>
      <c r="K63" s="54">
        <v>46027</v>
      </c>
      <c r="L63" s="49" t="s">
        <v>32</v>
      </c>
      <c r="M63" s="55"/>
      <c r="N63" s="53">
        <v>1066.44</v>
      </c>
      <c r="O63" s="54">
        <v>46047</v>
      </c>
      <c r="P63" s="49" t="s">
        <v>32</v>
      </c>
      <c r="Q63" s="55" t="s">
        <v>186</v>
      </c>
      <c r="R63" s="53">
        <v>7807.79</v>
      </c>
      <c r="S63" s="54">
        <v>46054</v>
      </c>
      <c r="T63" s="49" t="s">
        <v>32</v>
      </c>
      <c r="U63" s="53">
        <v>11786</v>
      </c>
      <c r="V63" s="54">
        <v>46047</v>
      </c>
      <c r="W63" s="49" t="s">
        <v>32</v>
      </c>
      <c r="X63" s="56">
        <v>2502.04</v>
      </c>
      <c r="Y63" s="49" t="s">
        <v>32</v>
      </c>
      <c r="Z63" s="53" t="s">
        <v>187</v>
      </c>
      <c r="AA63" s="172" t="s">
        <v>169</v>
      </c>
      <c r="AB63" s="5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</row>
    <row r="64" spans="1:1006" x14ac:dyDescent="0.25">
      <c r="A64" s="171" t="s">
        <v>164</v>
      </c>
      <c r="B64" s="55" t="s">
        <v>188</v>
      </c>
      <c r="C64" s="123" t="s">
        <v>600</v>
      </c>
      <c r="D64" s="81" t="s">
        <v>189</v>
      </c>
      <c r="E64" s="49" t="s">
        <v>38</v>
      </c>
      <c r="F64" s="49" t="s">
        <v>34</v>
      </c>
      <c r="G64" s="57" t="s">
        <v>34</v>
      </c>
      <c r="H64" s="49" t="s">
        <v>190</v>
      </c>
      <c r="I64" s="52" t="s">
        <v>191</v>
      </c>
      <c r="J64" s="53">
        <f t="shared" si="0"/>
        <v>1302</v>
      </c>
      <c r="K64" s="54">
        <v>46035</v>
      </c>
      <c r="L64" s="49" t="s">
        <v>32</v>
      </c>
      <c r="M64" s="55"/>
      <c r="N64" s="53">
        <v>849.6</v>
      </c>
      <c r="O64" s="54">
        <v>46047</v>
      </c>
      <c r="P64" s="49" t="s">
        <v>32</v>
      </c>
      <c r="Q64" s="55" t="s">
        <v>192</v>
      </c>
      <c r="R64" s="53">
        <v>3546.33</v>
      </c>
      <c r="S64" s="54">
        <v>46054</v>
      </c>
      <c r="T64" s="49" t="s">
        <v>32</v>
      </c>
      <c r="U64" s="53">
        <v>4797.37</v>
      </c>
      <c r="V64" s="54">
        <v>46047</v>
      </c>
      <c r="W64" s="49" t="s">
        <v>32</v>
      </c>
      <c r="X64" s="56">
        <v>1018.44</v>
      </c>
      <c r="Y64" s="49" t="s">
        <v>32</v>
      </c>
      <c r="Z64" s="53"/>
      <c r="AA64" s="172"/>
      <c r="AB64" s="5"/>
      <c r="AC64" s="5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</row>
    <row r="65" spans="1:1006" x14ac:dyDescent="0.25">
      <c r="A65" s="171" t="s">
        <v>164</v>
      </c>
      <c r="B65" s="55" t="s">
        <v>194</v>
      </c>
      <c r="C65" s="123" t="s">
        <v>601</v>
      </c>
      <c r="D65" s="81" t="s">
        <v>195</v>
      </c>
      <c r="E65" s="49" t="s">
        <v>38</v>
      </c>
      <c r="F65" s="49" t="s">
        <v>34</v>
      </c>
      <c r="G65" s="57" t="s">
        <v>34</v>
      </c>
      <c r="H65" s="49" t="s">
        <v>190</v>
      </c>
      <c r="I65" s="52" t="s">
        <v>196</v>
      </c>
      <c r="J65" s="53">
        <f t="shared" si="0"/>
        <v>1302</v>
      </c>
      <c r="K65" s="54">
        <v>46043</v>
      </c>
      <c r="L65" s="49" t="s">
        <v>32</v>
      </c>
      <c r="M65" s="55"/>
      <c r="N65" s="53">
        <v>622.09</v>
      </c>
      <c r="O65" s="54">
        <v>46047</v>
      </c>
      <c r="P65" s="49" t="s">
        <v>32</v>
      </c>
      <c r="Q65" s="55" t="s">
        <v>197</v>
      </c>
      <c r="R65" s="53">
        <v>7896.3</v>
      </c>
      <c r="S65" s="54">
        <v>46054</v>
      </c>
      <c r="T65" s="49" t="s">
        <v>32</v>
      </c>
      <c r="U65" s="53">
        <v>5312</v>
      </c>
      <c r="V65" s="54">
        <v>46047</v>
      </c>
      <c r="W65" s="49" t="s">
        <v>32</v>
      </c>
      <c r="X65" s="56">
        <v>1127.68</v>
      </c>
      <c r="Y65" s="49" t="s">
        <v>32</v>
      </c>
      <c r="Z65" s="53"/>
      <c r="AA65" s="175"/>
      <c r="AB65" s="5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</row>
    <row r="66" spans="1:1006" x14ac:dyDescent="0.25">
      <c r="A66" s="171" t="s">
        <v>164</v>
      </c>
      <c r="B66" s="55" t="s">
        <v>198</v>
      </c>
      <c r="C66" s="123" t="s">
        <v>604</v>
      </c>
      <c r="D66" s="81" t="s">
        <v>199</v>
      </c>
      <c r="E66" s="49" t="s">
        <v>38</v>
      </c>
      <c r="F66" s="49" t="s">
        <v>34</v>
      </c>
      <c r="G66" s="57" t="s">
        <v>34</v>
      </c>
      <c r="H66" s="49" t="s">
        <v>190</v>
      </c>
      <c r="I66" s="79" t="s">
        <v>200</v>
      </c>
      <c r="J66" s="53">
        <f t="shared" si="0"/>
        <v>1302</v>
      </c>
      <c r="K66" s="54">
        <v>46043</v>
      </c>
      <c r="L66" s="49" t="s">
        <v>32</v>
      </c>
      <c r="M66" s="55"/>
      <c r="N66" s="53">
        <v>533.22</v>
      </c>
      <c r="O66" s="54">
        <v>46047</v>
      </c>
      <c r="P66" s="49" t="s">
        <v>32</v>
      </c>
      <c r="Q66" s="55" t="s">
        <v>201</v>
      </c>
      <c r="R66" s="53">
        <v>3495.75</v>
      </c>
      <c r="S66" s="54">
        <v>46054</v>
      </c>
      <c r="T66" s="49" t="s">
        <v>32</v>
      </c>
      <c r="U66" s="53">
        <v>3901</v>
      </c>
      <c r="V66" s="54">
        <v>46047</v>
      </c>
      <c r="W66" s="49" t="s">
        <v>32</v>
      </c>
      <c r="X66" s="56">
        <v>828.14</v>
      </c>
      <c r="Y66" s="49" t="s">
        <v>32</v>
      </c>
      <c r="Z66" s="53"/>
      <c r="AA66" s="175"/>
      <c r="AB66" s="5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</row>
    <row r="67" spans="1:1006" x14ac:dyDescent="0.25">
      <c r="A67" s="171" t="s">
        <v>164</v>
      </c>
      <c r="B67" s="77" t="s">
        <v>484</v>
      </c>
      <c r="C67" s="123" t="s">
        <v>595</v>
      </c>
      <c r="D67" s="81" t="s">
        <v>487</v>
      </c>
      <c r="E67" s="49" t="s">
        <v>38</v>
      </c>
      <c r="F67" s="49" t="s">
        <v>34</v>
      </c>
      <c r="G67" s="57" t="s">
        <v>34</v>
      </c>
      <c r="H67" s="49" t="s">
        <v>495</v>
      </c>
      <c r="I67" s="79">
        <v>387439021</v>
      </c>
      <c r="J67" s="53">
        <v>1407</v>
      </c>
      <c r="K67" s="54">
        <v>46039</v>
      </c>
      <c r="L67" s="49" t="s">
        <v>32</v>
      </c>
      <c r="M67" s="55"/>
      <c r="N67" s="53">
        <v>355.48</v>
      </c>
      <c r="O67" s="54">
        <v>46047</v>
      </c>
      <c r="P67" s="49" t="s">
        <v>32</v>
      </c>
      <c r="Q67" s="55" t="s">
        <v>496</v>
      </c>
      <c r="R67" s="53">
        <v>3546.33</v>
      </c>
      <c r="S67" s="54">
        <v>46054</v>
      </c>
      <c r="T67" s="49" t="s">
        <v>32</v>
      </c>
      <c r="U67" s="53">
        <v>5229</v>
      </c>
      <c r="V67" s="54">
        <v>46047</v>
      </c>
      <c r="W67" s="49" t="s">
        <v>32</v>
      </c>
      <c r="X67" s="56">
        <v>1110.06</v>
      </c>
      <c r="Y67" s="49" t="s">
        <v>32</v>
      </c>
      <c r="Z67" s="53"/>
      <c r="AA67" s="175"/>
      <c r="AB67" s="5"/>
      <c r="AC67" s="5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</row>
    <row r="68" spans="1:1006" x14ac:dyDescent="0.25">
      <c r="A68" s="176" t="s">
        <v>164</v>
      </c>
      <c r="B68" s="80" t="s">
        <v>502</v>
      </c>
      <c r="C68" s="123" t="s">
        <v>591</v>
      </c>
      <c r="D68" s="81" t="s">
        <v>503</v>
      </c>
      <c r="E68" s="49"/>
      <c r="F68" s="49"/>
      <c r="G68" s="57"/>
      <c r="H68" s="49" t="s">
        <v>514</v>
      </c>
      <c r="I68" s="79" t="s">
        <v>514</v>
      </c>
      <c r="J68" s="53"/>
      <c r="K68" s="54"/>
      <c r="L68" s="49" t="s">
        <v>34</v>
      </c>
      <c r="M68" s="55"/>
      <c r="N68" s="53">
        <v>660.8</v>
      </c>
      <c r="O68" s="54">
        <v>46047</v>
      </c>
      <c r="P68" s="49" t="s">
        <v>32</v>
      </c>
      <c r="Q68" s="55" t="s">
        <v>515</v>
      </c>
      <c r="R68" s="53">
        <v>1534.25</v>
      </c>
      <c r="S68" s="54">
        <v>46054</v>
      </c>
      <c r="T68" s="49" t="s">
        <v>32</v>
      </c>
      <c r="U68" s="53">
        <v>4316</v>
      </c>
      <c r="V68" s="54">
        <v>46047</v>
      </c>
      <c r="W68" s="49" t="s">
        <v>32</v>
      </c>
      <c r="X68" s="56">
        <v>916.24</v>
      </c>
      <c r="Y68" s="49" t="s">
        <v>32</v>
      </c>
      <c r="Z68" s="53"/>
      <c r="AA68" s="175"/>
      <c r="AB68" s="5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</row>
    <row r="69" spans="1:1006" x14ac:dyDescent="0.25">
      <c r="A69" s="177" t="s">
        <v>164</v>
      </c>
      <c r="B69" s="178" t="s">
        <v>522</v>
      </c>
      <c r="C69" s="125" t="s">
        <v>522</v>
      </c>
      <c r="D69" s="179"/>
      <c r="E69" s="49"/>
      <c r="F69" s="49"/>
      <c r="G69" s="57"/>
      <c r="H69" s="49"/>
      <c r="I69" s="79"/>
      <c r="J69" s="53"/>
      <c r="K69" s="54"/>
      <c r="L69" s="49" t="s">
        <v>34</v>
      </c>
      <c r="M69" s="55"/>
      <c r="N69" s="53">
        <v>0</v>
      </c>
      <c r="O69" s="54">
        <v>46047</v>
      </c>
      <c r="P69" s="49" t="s">
        <v>34</v>
      </c>
      <c r="Q69" s="47"/>
      <c r="R69" s="53"/>
      <c r="S69" s="54"/>
      <c r="T69" s="49" t="s">
        <v>34</v>
      </c>
      <c r="U69" s="53">
        <v>0</v>
      </c>
      <c r="V69" s="54">
        <v>46047</v>
      </c>
      <c r="W69" s="49" t="s">
        <v>34</v>
      </c>
      <c r="X69" s="56"/>
      <c r="Y69" s="49" t="s">
        <v>34</v>
      </c>
      <c r="Z69" s="53"/>
      <c r="AA69" s="175"/>
      <c r="AB69" s="5"/>
      <c r="AC69" s="5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</row>
    <row r="70" spans="1:1006" x14ac:dyDescent="0.25">
      <c r="A70" s="171" t="s">
        <v>202</v>
      </c>
      <c r="B70" s="55" t="s">
        <v>410</v>
      </c>
      <c r="C70" s="123" t="s">
        <v>610</v>
      </c>
      <c r="D70" s="81" t="s">
        <v>411</v>
      </c>
      <c r="E70" s="49" t="s">
        <v>38</v>
      </c>
      <c r="F70" s="49" t="s">
        <v>34</v>
      </c>
      <c r="G70" s="57" t="s">
        <v>34</v>
      </c>
      <c r="H70" s="49" t="s">
        <v>443</v>
      </c>
      <c r="I70" s="79" t="s">
        <v>434</v>
      </c>
      <c r="J70" s="53">
        <v>0</v>
      </c>
      <c r="K70" s="54">
        <v>46051</v>
      </c>
      <c r="L70" s="49" t="s">
        <v>34</v>
      </c>
      <c r="M70" s="55" t="s">
        <v>421</v>
      </c>
      <c r="N70" s="53">
        <v>486</v>
      </c>
      <c r="O70" s="54">
        <v>46039</v>
      </c>
      <c r="P70" s="49" t="s">
        <v>32</v>
      </c>
      <c r="Q70" s="55" t="s">
        <v>438</v>
      </c>
      <c r="R70" s="53">
        <v>1194.3</v>
      </c>
      <c r="S70" s="54">
        <v>46068</v>
      </c>
      <c r="T70" s="49" t="s">
        <v>32</v>
      </c>
      <c r="U70" s="53">
        <v>2990.41</v>
      </c>
      <c r="V70" s="54">
        <v>46037</v>
      </c>
      <c r="W70" s="49" t="s">
        <v>32</v>
      </c>
      <c r="X70" s="56"/>
      <c r="Y70" s="49" t="s">
        <v>34</v>
      </c>
      <c r="Z70" s="53"/>
      <c r="AA70" s="175"/>
      <c r="AB70" s="5"/>
      <c r="AC70" s="5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</row>
    <row r="71" spans="1:1006" x14ac:dyDescent="0.25">
      <c r="A71" s="171" t="s">
        <v>202</v>
      </c>
      <c r="B71" s="55" t="s">
        <v>416</v>
      </c>
      <c r="C71" s="123" t="s">
        <v>609</v>
      </c>
      <c r="D71" s="81" t="s">
        <v>417</v>
      </c>
      <c r="E71" s="49" t="s">
        <v>38</v>
      </c>
      <c r="F71" s="49" t="s">
        <v>34</v>
      </c>
      <c r="G71" s="57" t="s">
        <v>34</v>
      </c>
      <c r="H71" s="49" t="s">
        <v>203</v>
      </c>
      <c r="I71" s="52">
        <v>1565602030528</v>
      </c>
      <c r="J71" s="56">
        <f>1499.75+10</f>
        <v>1509.75</v>
      </c>
      <c r="K71" s="54">
        <v>46049</v>
      </c>
      <c r="L71" s="49" t="s">
        <v>32</v>
      </c>
      <c r="M71" s="55" t="s">
        <v>418</v>
      </c>
      <c r="N71" s="56">
        <v>486</v>
      </c>
      <c r="O71" s="54">
        <v>46039</v>
      </c>
      <c r="P71" s="49" t="s">
        <v>32</v>
      </c>
      <c r="Q71" s="55" t="s">
        <v>419</v>
      </c>
      <c r="R71" s="56">
        <v>1459.87</v>
      </c>
      <c r="S71" s="54">
        <v>46066</v>
      </c>
      <c r="T71" s="49" t="s">
        <v>32</v>
      </c>
      <c r="U71" s="56">
        <v>2881.8</v>
      </c>
      <c r="V71" s="54">
        <v>46037</v>
      </c>
      <c r="W71" s="49" t="s">
        <v>32</v>
      </c>
      <c r="X71" s="56" t="s">
        <v>34</v>
      </c>
      <c r="Y71" s="49" t="s">
        <v>34</v>
      </c>
      <c r="Z71" s="82"/>
      <c r="AA71" s="180" t="s">
        <v>35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</row>
    <row r="72" spans="1:1006" ht="12.75" customHeight="1" x14ac:dyDescent="0.25">
      <c r="A72" s="171" t="s">
        <v>202</v>
      </c>
      <c r="B72" s="55" t="s">
        <v>470</v>
      </c>
      <c r="C72" s="123" t="s">
        <v>608</v>
      </c>
      <c r="D72" s="81" t="s">
        <v>362</v>
      </c>
      <c r="E72" s="49" t="s">
        <v>38</v>
      </c>
      <c r="F72" s="49" t="s">
        <v>34</v>
      </c>
      <c r="G72" s="57" t="s">
        <v>34</v>
      </c>
      <c r="H72" s="49" t="s">
        <v>142</v>
      </c>
      <c r="I72" s="79" t="s">
        <v>525</v>
      </c>
      <c r="J72" s="53">
        <f t="shared" si="0"/>
        <v>1302</v>
      </c>
      <c r="K72" s="54">
        <v>46034</v>
      </c>
      <c r="L72" s="49" t="s">
        <v>32</v>
      </c>
      <c r="M72" s="55" t="s">
        <v>420</v>
      </c>
      <c r="N72" s="53">
        <v>972</v>
      </c>
      <c r="O72" s="54">
        <v>46039</v>
      </c>
      <c r="P72" s="49" t="s">
        <v>32</v>
      </c>
      <c r="Q72" s="55" t="s">
        <v>360</v>
      </c>
      <c r="R72" s="53">
        <v>6151.27</v>
      </c>
      <c r="S72" s="54">
        <v>46066</v>
      </c>
      <c r="T72" s="49" t="s">
        <v>32</v>
      </c>
      <c r="U72" s="53">
        <v>3569.3</v>
      </c>
      <c r="V72" s="54">
        <v>46037</v>
      </c>
      <c r="W72" s="49" t="s">
        <v>32</v>
      </c>
      <c r="X72" s="56"/>
      <c r="Y72" s="49" t="s">
        <v>34</v>
      </c>
      <c r="Z72" s="53"/>
      <c r="AA72" s="175"/>
      <c r="AB72" s="4"/>
      <c r="AC72" s="5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</row>
    <row r="73" spans="1:1006" x14ac:dyDescent="0.25">
      <c r="A73" s="171" t="s">
        <v>204</v>
      </c>
      <c r="B73" s="55" t="s">
        <v>475</v>
      </c>
      <c r="C73" s="123" t="s">
        <v>575</v>
      </c>
      <c r="D73" s="81" t="s">
        <v>205</v>
      </c>
      <c r="E73" s="49" t="s">
        <v>38</v>
      </c>
      <c r="F73" s="49" t="s">
        <v>34</v>
      </c>
      <c r="G73" s="57" t="s">
        <v>34</v>
      </c>
      <c r="H73" s="49" t="s">
        <v>31</v>
      </c>
      <c r="I73" s="52">
        <v>931123630</v>
      </c>
      <c r="J73" s="53">
        <f>1399+7</f>
        <v>1406</v>
      </c>
      <c r="K73" s="54">
        <v>46033</v>
      </c>
      <c r="L73" s="49" t="s">
        <v>32</v>
      </c>
      <c r="M73" s="55"/>
      <c r="N73" s="53">
        <v>172</v>
      </c>
      <c r="O73" s="54">
        <v>46042</v>
      </c>
      <c r="P73" s="49" t="s">
        <v>32</v>
      </c>
      <c r="Q73" s="55" t="s">
        <v>206</v>
      </c>
      <c r="R73" s="53">
        <v>3900.39</v>
      </c>
      <c r="S73" s="54">
        <v>46068</v>
      </c>
      <c r="T73" s="49" t="s">
        <v>32</v>
      </c>
      <c r="U73" s="53">
        <v>7440</v>
      </c>
      <c r="V73" s="54">
        <v>46042</v>
      </c>
      <c r="W73" s="49" t="s">
        <v>32</v>
      </c>
      <c r="X73" s="56" t="s">
        <v>34</v>
      </c>
      <c r="Y73" s="49" t="s">
        <v>32</v>
      </c>
      <c r="Z73" s="53"/>
      <c r="AA73" s="172" t="s">
        <v>40</v>
      </c>
      <c r="AB73" s="5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</row>
    <row r="74" spans="1:1006" x14ac:dyDescent="0.25">
      <c r="A74" s="171" t="s">
        <v>204</v>
      </c>
      <c r="B74" s="55" t="s">
        <v>207</v>
      </c>
      <c r="C74" s="123" t="s">
        <v>579</v>
      </c>
      <c r="D74" s="81" t="s">
        <v>147</v>
      </c>
      <c r="E74" s="49" t="s">
        <v>38</v>
      </c>
      <c r="F74" s="49" t="s">
        <v>34</v>
      </c>
      <c r="G74" s="57" t="s">
        <v>34</v>
      </c>
      <c r="H74" s="49" t="s">
        <v>127</v>
      </c>
      <c r="I74" s="52" t="s">
        <v>208</v>
      </c>
      <c r="J74" s="53">
        <f>1299+3</f>
        <v>1302</v>
      </c>
      <c r="K74" s="54">
        <v>46046</v>
      </c>
      <c r="L74" s="49" t="s">
        <v>32</v>
      </c>
      <c r="M74" s="55"/>
      <c r="N74" s="53">
        <v>387</v>
      </c>
      <c r="O74" s="54">
        <v>46042</v>
      </c>
      <c r="P74" s="49" t="s">
        <v>32</v>
      </c>
      <c r="Q74" s="55" t="s">
        <v>209</v>
      </c>
      <c r="R74" s="53">
        <v>3495.75</v>
      </c>
      <c r="S74" s="54">
        <v>46068</v>
      </c>
      <c r="T74" s="49" t="s">
        <v>32</v>
      </c>
      <c r="U74" s="53">
        <v>3540</v>
      </c>
      <c r="V74" s="54">
        <v>46042</v>
      </c>
      <c r="W74" s="49" t="s">
        <v>32</v>
      </c>
      <c r="X74" s="56" t="s">
        <v>34</v>
      </c>
      <c r="Y74" s="49" t="s">
        <v>32</v>
      </c>
      <c r="Z74" s="53"/>
      <c r="AA74" s="172" t="s">
        <v>40</v>
      </c>
      <c r="AB74" s="5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</row>
    <row r="75" spans="1:1006" x14ac:dyDescent="0.25">
      <c r="A75" s="171" t="s">
        <v>204</v>
      </c>
      <c r="B75" s="55" t="s">
        <v>210</v>
      </c>
      <c r="C75" s="123" t="s">
        <v>574</v>
      </c>
      <c r="D75" s="81" t="s">
        <v>211</v>
      </c>
      <c r="E75" s="49" t="s">
        <v>38</v>
      </c>
      <c r="F75" s="49" t="s">
        <v>34</v>
      </c>
      <c r="G75" s="57" t="s">
        <v>34</v>
      </c>
      <c r="H75" s="49" t="s">
        <v>145</v>
      </c>
      <c r="I75" s="52" t="s">
        <v>212</v>
      </c>
      <c r="J75" s="53">
        <f>799+2</f>
        <v>801</v>
      </c>
      <c r="K75" s="54">
        <v>46044</v>
      </c>
      <c r="L75" s="49" t="s">
        <v>32</v>
      </c>
      <c r="M75" s="55"/>
      <c r="N75" s="53">
        <v>258</v>
      </c>
      <c r="O75" s="54">
        <v>46042</v>
      </c>
      <c r="P75" s="49" t="s">
        <v>32</v>
      </c>
      <c r="Q75" s="55" t="s">
        <v>213</v>
      </c>
      <c r="R75" s="53">
        <v>1826.55</v>
      </c>
      <c r="S75" s="54">
        <v>46068</v>
      </c>
      <c r="T75" s="49" t="s">
        <v>32</v>
      </c>
      <c r="U75" s="53">
        <v>7440</v>
      </c>
      <c r="V75" s="54">
        <v>46042</v>
      </c>
      <c r="W75" s="49" t="s">
        <v>32</v>
      </c>
      <c r="X75" s="56" t="s">
        <v>34</v>
      </c>
      <c r="Y75" s="49" t="s">
        <v>32</v>
      </c>
      <c r="Z75" s="53"/>
      <c r="AA75" s="175" t="s">
        <v>40</v>
      </c>
      <c r="AB75" s="5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  <c r="AJG75" s="4"/>
      <c r="AJH75" s="4"/>
      <c r="AJI75" s="4"/>
      <c r="AJJ75" s="4"/>
      <c r="AJK75" s="4"/>
      <c r="AJL75" s="4"/>
      <c r="AJM75" s="4"/>
      <c r="AJN75" s="4"/>
      <c r="AJO75" s="4"/>
      <c r="AJP75" s="4"/>
      <c r="AJQ75" s="4"/>
      <c r="AJR75" s="4"/>
      <c r="AJS75" s="4"/>
      <c r="AJT75" s="4"/>
      <c r="AJU75" s="4"/>
      <c r="AJV75" s="4"/>
      <c r="AJW75" s="4"/>
      <c r="AJX75" s="4"/>
      <c r="AJY75" s="4"/>
      <c r="AJZ75" s="4"/>
      <c r="AKA75" s="4"/>
      <c r="AKB75" s="4"/>
      <c r="AKC75" s="4"/>
      <c r="AKD75" s="4"/>
      <c r="AKE75" s="4"/>
      <c r="AKF75" s="4"/>
      <c r="AKG75" s="4"/>
      <c r="AKH75" s="4"/>
      <c r="AKI75" s="4"/>
      <c r="AKJ75" s="4"/>
      <c r="AKK75" s="4"/>
      <c r="AKL75" s="4"/>
      <c r="AKM75" s="4"/>
      <c r="AKN75" s="4"/>
      <c r="AKO75" s="4"/>
      <c r="AKP75" s="4"/>
      <c r="AKQ75" s="4"/>
      <c r="AKR75" s="4"/>
      <c r="AKS75" s="4"/>
      <c r="AKT75" s="4"/>
      <c r="AKU75" s="4"/>
      <c r="AKV75" s="4"/>
      <c r="AKW75" s="4"/>
      <c r="AKX75" s="4"/>
      <c r="AKY75" s="4"/>
      <c r="AKZ75" s="4"/>
      <c r="ALA75" s="4"/>
      <c r="ALB75" s="4"/>
      <c r="ALC75" s="4"/>
      <c r="ALD75" s="4"/>
      <c r="ALE75" s="4"/>
      <c r="ALF75" s="4"/>
      <c r="ALG75" s="4"/>
      <c r="ALH75" s="4"/>
      <c r="ALI75" s="4"/>
      <c r="ALJ75" s="4"/>
      <c r="ALK75" s="4"/>
      <c r="ALL75" s="4"/>
      <c r="ALM75" s="4"/>
      <c r="ALN75" s="4"/>
      <c r="ALO75" s="4"/>
      <c r="ALP75" s="4"/>
      <c r="ALQ75" s="4"/>
      <c r="ALR75" s="4"/>
    </row>
    <row r="76" spans="1:1006" x14ac:dyDescent="0.25">
      <c r="A76" s="171" t="s">
        <v>204</v>
      </c>
      <c r="B76" s="55" t="s">
        <v>214</v>
      </c>
      <c r="C76" s="123" t="s">
        <v>573</v>
      </c>
      <c r="D76" s="81" t="s">
        <v>215</v>
      </c>
      <c r="E76" s="49" t="s">
        <v>38</v>
      </c>
      <c r="F76" s="49" t="s">
        <v>34</v>
      </c>
      <c r="G76" s="57" t="s">
        <v>34</v>
      </c>
      <c r="H76" s="49" t="s">
        <v>31</v>
      </c>
      <c r="I76" s="52">
        <v>932992567</v>
      </c>
      <c r="J76" s="53">
        <f>1299+7</f>
        <v>1306</v>
      </c>
      <c r="K76" s="54">
        <v>46039</v>
      </c>
      <c r="L76" s="49" t="s">
        <v>32</v>
      </c>
      <c r="M76" s="55"/>
      <c r="N76" s="53">
        <v>387</v>
      </c>
      <c r="O76" s="54">
        <v>46042</v>
      </c>
      <c r="P76" s="49" t="s">
        <v>32</v>
      </c>
      <c r="Q76" s="55" t="s">
        <v>216</v>
      </c>
      <c r="R76" s="53">
        <v>4305.0200000000004</v>
      </c>
      <c r="S76" s="54">
        <v>46066</v>
      </c>
      <c r="T76" s="49" t="s">
        <v>32</v>
      </c>
      <c r="U76" s="53">
        <v>4680</v>
      </c>
      <c r="V76" s="54">
        <v>46042</v>
      </c>
      <c r="W76" s="49" t="s">
        <v>32</v>
      </c>
      <c r="X76" s="56" t="s">
        <v>34</v>
      </c>
      <c r="Y76" s="49" t="s">
        <v>32</v>
      </c>
      <c r="Z76" s="53"/>
      <c r="AA76" s="175"/>
      <c r="AB76" s="5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</row>
    <row r="77" spans="1:1006" x14ac:dyDescent="0.25">
      <c r="A77" s="171" t="s">
        <v>217</v>
      </c>
      <c r="B77" s="48" t="s">
        <v>218</v>
      </c>
      <c r="C77" s="123" t="s">
        <v>606</v>
      </c>
      <c r="D77" s="81" t="s">
        <v>219</v>
      </c>
      <c r="E77" s="55" t="s">
        <v>30</v>
      </c>
      <c r="F77" s="83">
        <v>24000</v>
      </c>
      <c r="G77" s="84">
        <v>13759.5</v>
      </c>
      <c r="H77" s="49" t="s">
        <v>145</v>
      </c>
      <c r="I77" s="52" t="s">
        <v>220</v>
      </c>
      <c r="J77" s="53">
        <v>799</v>
      </c>
      <c r="K77" s="54">
        <v>46043</v>
      </c>
      <c r="L77" s="49" t="s">
        <v>32</v>
      </c>
      <c r="M77" s="55"/>
      <c r="N77" s="53">
        <v>2940.29</v>
      </c>
      <c r="O77" s="54">
        <v>46042</v>
      </c>
      <c r="P77" s="49" t="s">
        <v>32</v>
      </c>
      <c r="Q77" s="55"/>
      <c r="R77" s="53">
        <v>3355.77</v>
      </c>
      <c r="S77" s="54">
        <v>46011</v>
      </c>
      <c r="T77" s="49" t="s">
        <v>32</v>
      </c>
      <c r="U77" s="53">
        <v>1759.5</v>
      </c>
      <c r="V77" s="54">
        <v>46042</v>
      </c>
      <c r="W77" s="49" t="s">
        <v>32</v>
      </c>
      <c r="X77" s="56" t="s">
        <v>34</v>
      </c>
      <c r="Y77" s="49" t="s">
        <v>34</v>
      </c>
      <c r="Z77" s="76"/>
      <c r="AA77" s="175" t="s">
        <v>35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</row>
    <row r="78" spans="1:1006" x14ac:dyDescent="0.25">
      <c r="A78" s="171" t="s">
        <v>217</v>
      </c>
      <c r="B78" s="48" t="s">
        <v>221</v>
      </c>
      <c r="C78" s="123" t="s">
        <v>607</v>
      </c>
      <c r="D78" s="81" t="s">
        <v>219</v>
      </c>
      <c r="E78" s="55" t="s">
        <v>30</v>
      </c>
      <c r="F78" s="83">
        <v>24000</v>
      </c>
      <c r="G78" s="84">
        <v>13759.5</v>
      </c>
      <c r="H78" s="55" t="s">
        <v>222</v>
      </c>
      <c r="I78" s="75" t="s">
        <v>34</v>
      </c>
      <c r="J78" s="76"/>
      <c r="K78" s="54" t="s">
        <v>34</v>
      </c>
      <c r="L78" s="49" t="s">
        <v>34</v>
      </c>
      <c r="M78" s="55"/>
      <c r="N78" s="53">
        <v>892.58</v>
      </c>
      <c r="O78" s="54">
        <v>46042</v>
      </c>
      <c r="P78" s="49" t="s">
        <v>32</v>
      </c>
      <c r="Q78" s="55"/>
      <c r="R78" s="53">
        <v>5036.8900000000003</v>
      </c>
      <c r="S78" s="54">
        <v>46011</v>
      </c>
      <c r="T78" s="49" t="s">
        <v>32</v>
      </c>
      <c r="U78" s="53">
        <v>1759.5</v>
      </c>
      <c r="V78" s="54">
        <v>46042</v>
      </c>
      <c r="W78" s="49" t="s">
        <v>32</v>
      </c>
      <c r="X78" s="56" t="s">
        <v>34</v>
      </c>
      <c r="Y78" s="49" t="s">
        <v>34</v>
      </c>
      <c r="Z78" s="76"/>
      <c r="AA78" s="172" t="s">
        <v>35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  <c r="AJG78" s="4"/>
      <c r="AJH78" s="4"/>
      <c r="AJI78" s="4"/>
      <c r="AJJ78" s="4"/>
      <c r="AJK78" s="4"/>
      <c r="AJL78" s="4"/>
      <c r="AJM78" s="4"/>
      <c r="AJN78" s="4"/>
      <c r="AJO78" s="4"/>
      <c r="AJP78" s="4"/>
      <c r="AJQ78" s="4"/>
      <c r="AJR78" s="4"/>
      <c r="AJS78" s="4"/>
      <c r="AJT78" s="4"/>
      <c r="AJU78" s="4"/>
      <c r="AJV78" s="4"/>
      <c r="AJW78" s="4"/>
      <c r="AJX78" s="4"/>
      <c r="AJY78" s="4"/>
      <c r="AJZ78" s="4"/>
      <c r="AKA78" s="4"/>
      <c r="AKB78" s="4"/>
      <c r="AKC78" s="4"/>
      <c r="AKD78" s="4"/>
      <c r="AKE78" s="4"/>
      <c r="AKF78" s="4"/>
      <c r="AKG78" s="4"/>
      <c r="AKH78" s="4"/>
      <c r="AKI78" s="4"/>
      <c r="AKJ78" s="4"/>
      <c r="AKK78" s="4"/>
      <c r="AKL78" s="4"/>
      <c r="AKM78" s="4"/>
      <c r="AKN78" s="4"/>
      <c r="AKO78" s="4"/>
      <c r="AKP78" s="4"/>
      <c r="AKQ78" s="4"/>
      <c r="AKR78" s="4"/>
      <c r="AKS78" s="4"/>
      <c r="AKT78" s="4"/>
      <c r="AKU78" s="4"/>
      <c r="AKV78" s="4"/>
      <c r="AKW78" s="4"/>
      <c r="AKX78" s="4"/>
      <c r="AKY78" s="4"/>
      <c r="AKZ78" s="4"/>
      <c r="ALA78" s="4"/>
      <c r="ALB78" s="4"/>
      <c r="ALC78" s="4"/>
      <c r="ALD78" s="4"/>
      <c r="ALE78" s="4"/>
      <c r="ALF78" s="4"/>
      <c r="ALG78" s="4"/>
      <c r="ALH78" s="4"/>
      <c r="ALI78" s="4"/>
      <c r="ALJ78" s="4"/>
      <c r="ALK78" s="4"/>
      <c r="ALL78" s="4"/>
      <c r="ALM78" s="4"/>
      <c r="ALN78" s="4"/>
      <c r="ALO78" s="4"/>
      <c r="ALP78" s="4"/>
      <c r="ALQ78" s="4"/>
      <c r="ALR78" s="4"/>
    </row>
    <row r="79" spans="1:1006" x14ac:dyDescent="0.25">
      <c r="A79" s="171" t="s">
        <v>223</v>
      </c>
      <c r="B79" s="55" t="s">
        <v>224</v>
      </c>
      <c r="C79" s="123" t="s">
        <v>587</v>
      </c>
      <c r="D79" s="81" t="s">
        <v>225</v>
      </c>
      <c r="E79" s="49" t="s">
        <v>38</v>
      </c>
      <c r="F79" s="49" t="s">
        <v>34</v>
      </c>
      <c r="G79" s="57" t="s">
        <v>34</v>
      </c>
      <c r="H79" s="55" t="s">
        <v>31</v>
      </c>
      <c r="I79" s="75">
        <v>936364566</v>
      </c>
      <c r="J79" s="53">
        <f>1999+7</f>
        <v>2006</v>
      </c>
      <c r="K79" s="54">
        <v>46038</v>
      </c>
      <c r="L79" s="49" t="s">
        <v>32</v>
      </c>
      <c r="M79" s="49"/>
      <c r="N79" s="53">
        <v>468</v>
      </c>
      <c r="O79" s="54">
        <v>46042</v>
      </c>
      <c r="P79" s="49" t="s">
        <v>32</v>
      </c>
      <c r="Q79" s="55" t="s">
        <v>226</v>
      </c>
      <c r="R79" s="53">
        <v>3824.56</v>
      </c>
      <c r="S79" s="54">
        <v>46060</v>
      </c>
      <c r="T79" s="49" t="s">
        <v>32</v>
      </c>
      <c r="U79" s="53">
        <v>3510</v>
      </c>
      <c r="V79" s="54">
        <v>46042</v>
      </c>
      <c r="W79" s="49" t="s">
        <v>32</v>
      </c>
      <c r="X79" s="56">
        <v>2430</v>
      </c>
      <c r="Y79" s="49" t="s">
        <v>32</v>
      </c>
      <c r="Z79" s="76"/>
      <c r="AA79" s="172"/>
      <c r="AB79" s="5"/>
      <c r="AC79" s="5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  <c r="AJG79" s="4"/>
      <c r="AJH79" s="4"/>
      <c r="AJI79" s="4"/>
      <c r="AJJ79" s="4"/>
      <c r="AJK79" s="4"/>
      <c r="AJL79" s="4"/>
      <c r="AJM79" s="4"/>
      <c r="AJN79" s="4"/>
      <c r="AJO79" s="4"/>
      <c r="AJP79" s="4"/>
      <c r="AJQ79" s="4"/>
      <c r="AJR79" s="4"/>
      <c r="AJS79" s="4"/>
      <c r="AJT79" s="4"/>
      <c r="AJU79" s="4"/>
      <c r="AJV79" s="4"/>
      <c r="AJW79" s="4"/>
      <c r="AJX79" s="4"/>
      <c r="AJY79" s="4"/>
      <c r="AJZ79" s="4"/>
      <c r="AKA79" s="4"/>
      <c r="AKB79" s="4"/>
      <c r="AKC79" s="4"/>
      <c r="AKD79" s="4"/>
      <c r="AKE79" s="4"/>
      <c r="AKF79" s="4"/>
      <c r="AKG79" s="4"/>
      <c r="AKH79" s="4"/>
      <c r="AKI79" s="4"/>
      <c r="AKJ79" s="4"/>
      <c r="AKK79" s="4"/>
      <c r="AKL79" s="4"/>
      <c r="AKM79" s="4"/>
      <c r="AKN79" s="4"/>
      <c r="AKO79" s="4"/>
      <c r="AKP79" s="4"/>
      <c r="AKQ79" s="4"/>
      <c r="AKR79" s="4"/>
      <c r="AKS79" s="4"/>
      <c r="AKT79" s="4"/>
      <c r="AKU79" s="4"/>
      <c r="AKV79" s="4"/>
      <c r="AKW79" s="4"/>
      <c r="AKX79" s="4"/>
      <c r="AKY79" s="4"/>
      <c r="AKZ79" s="4"/>
      <c r="ALA79" s="4"/>
      <c r="ALB79" s="4"/>
      <c r="ALC79" s="4"/>
      <c r="ALD79" s="4"/>
      <c r="ALE79" s="4"/>
      <c r="ALF79" s="4"/>
      <c r="ALG79" s="4"/>
      <c r="ALH79" s="4"/>
      <c r="ALI79" s="4"/>
      <c r="ALJ79" s="4"/>
      <c r="ALK79" s="4"/>
      <c r="ALL79" s="4"/>
      <c r="ALM79" s="4"/>
      <c r="ALN79" s="4"/>
      <c r="ALO79" s="4"/>
      <c r="ALP79" s="4"/>
      <c r="ALQ79" s="4"/>
      <c r="ALR79" s="4"/>
    </row>
    <row r="80" spans="1:1006" x14ac:dyDescent="0.25">
      <c r="A80" s="171" t="s">
        <v>223</v>
      </c>
      <c r="B80" s="55" t="s">
        <v>227</v>
      </c>
      <c r="C80" s="123" t="s">
        <v>593</v>
      </c>
      <c r="D80" s="81" t="s">
        <v>228</v>
      </c>
      <c r="E80" s="49" t="s">
        <v>38</v>
      </c>
      <c r="F80" s="49" t="s">
        <v>34</v>
      </c>
      <c r="G80" s="57" t="s">
        <v>34</v>
      </c>
      <c r="H80" s="55" t="s">
        <v>157</v>
      </c>
      <c r="I80" s="52" t="s">
        <v>229</v>
      </c>
      <c r="J80" s="53">
        <v>999</v>
      </c>
      <c r="K80" s="54">
        <v>46046</v>
      </c>
      <c r="L80" s="49" t="s">
        <v>32</v>
      </c>
      <c r="M80" s="49"/>
      <c r="N80" s="53">
        <v>780</v>
      </c>
      <c r="O80" s="54">
        <v>46042</v>
      </c>
      <c r="P80" s="49" t="s">
        <v>32</v>
      </c>
      <c r="Q80" s="55" t="s">
        <v>230</v>
      </c>
      <c r="R80" s="53">
        <v>4267.08</v>
      </c>
      <c r="S80" s="54">
        <v>46060</v>
      </c>
      <c r="T80" s="49" t="s">
        <v>32</v>
      </c>
      <c r="U80" s="53">
        <v>3510</v>
      </c>
      <c r="V80" s="54">
        <v>46042</v>
      </c>
      <c r="W80" s="49" t="s">
        <v>32</v>
      </c>
      <c r="X80" s="56">
        <v>2430</v>
      </c>
      <c r="Y80" s="49" t="s">
        <v>32</v>
      </c>
      <c r="Z80" s="76"/>
      <c r="AA80" s="172" t="s">
        <v>35</v>
      </c>
      <c r="AB80" s="5"/>
      <c r="AC80" s="5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</row>
    <row r="81" spans="1:1006" x14ac:dyDescent="0.25">
      <c r="A81" s="173" t="s">
        <v>223</v>
      </c>
      <c r="B81" s="78" t="s">
        <v>231</v>
      </c>
      <c r="C81" s="125" t="s">
        <v>231</v>
      </c>
      <c r="D81" s="81" t="s">
        <v>232</v>
      </c>
      <c r="E81" s="49" t="s">
        <v>38</v>
      </c>
      <c r="F81" s="49" t="s">
        <v>34</v>
      </c>
      <c r="G81" s="57" t="s">
        <v>34</v>
      </c>
      <c r="H81" s="55" t="s">
        <v>31</v>
      </c>
      <c r="I81" s="52">
        <v>935377078</v>
      </c>
      <c r="J81" s="53">
        <f>1599+7</f>
        <v>1606</v>
      </c>
      <c r="K81" s="54">
        <v>46027</v>
      </c>
      <c r="L81" s="49" t="s">
        <v>32</v>
      </c>
      <c r="M81" s="49"/>
      <c r="N81" s="53">
        <v>624</v>
      </c>
      <c r="O81" s="54">
        <v>46042</v>
      </c>
      <c r="P81" s="49" t="s">
        <v>32</v>
      </c>
      <c r="Q81" s="55" t="s">
        <v>233</v>
      </c>
      <c r="R81" s="53">
        <v>1055.22</v>
      </c>
      <c r="S81" s="54">
        <v>46063</v>
      </c>
      <c r="T81" s="49" t="s">
        <v>32</v>
      </c>
      <c r="U81" s="53">
        <v>3510</v>
      </c>
      <c r="V81" s="54">
        <v>46042</v>
      </c>
      <c r="W81" s="49" t="s">
        <v>32</v>
      </c>
      <c r="X81" s="56">
        <v>2430</v>
      </c>
      <c r="Y81" s="49" t="s">
        <v>32</v>
      </c>
      <c r="Z81" s="76"/>
      <c r="AA81" s="172" t="s">
        <v>35</v>
      </c>
      <c r="AB81" s="5"/>
      <c r="AC81" s="5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  <c r="AAW81" s="4"/>
      <c r="AAX81" s="4"/>
      <c r="AAY81" s="4"/>
      <c r="AAZ81" s="4"/>
      <c r="ABA81" s="4"/>
      <c r="ABB81" s="4"/>
      <c r="ABC81" s="4"/>
      <c r="ABD81" s="4"/>
      <c r="ABE81" s="4"/>
      <c r="ABF81" s="4"/>
      <c r="ABG81" s="4"/>
      <c r="ABH81" s="4"/>
      <c r="ABI81" s="4"/>
      <c r="ABJ81" s="4"/>
      <c r="ABK81" s="4"/>
      <c r="ABL81" s="4"/>
      <c r="ABM81" s="4"/>
      <c r="ABN81" s="4"/>
      <c r="ABO81" s="4"/>
      <c r="ABP81" s="4"/>
      <c r="ABQ81" s="4"/>
      <c r="ABR81" s="4"/>
      <c r="ABS81" s="4"/>
      <c r="ABT81" s="4"/>
      <c r="ABU81" s="4"/>
      <c r="ABV81" s="4"/>
      <c r="ABW81" s="4"/>
      <c r="ABX81" s="4"/>
      <c r="ABY81" s="4"/>
      <c r="ABZ81" s="4"/>
      <c r="ACA81" s="4"/>
      <c r="ACB81" s="4"/>
      <c r="ACC81" s="4"/>
      <c r="ACD81" s="4"/>
      <c r="ACE81" s="4"/>
      <c r="ACF81" s="4"/>
      <c r="ACG81" s="4"/>
      <c r="ACH81" s="4"/>
      <c r="ACI81" s="4"/>
      <c r="ACJ81" s="4"/>
      <c r="ACK81" s="4"/>
      <c r="ACL81" s="4"/>
      <c r="ACM81" s="4"/>
      <c r="ACN81" s="4"/>
      <c r="ACO81" s="4"/>
      <c r="ACP81" s="4"/>
      <c r="ACQ81" s="4"/>
      <c r="ACR81" s="4"/>
      <c r="ACS81" s="4"/>
      <c r="ACT81" s="4"/>
      <c r="ACU81" s="4"/>
      <c r="ACV81" s="4"/>
      <c r="ACW81" s="4"/>
      <c r="ACX81" s="4"/>
      <c r="ACY81" s="4"/>
      <c r="ACZ81" s="4"/>
      <c r="ADA81" s="4"/>
      <c r="ADB81" s="4"/>
      <c r="ADC81" s="4"/>
      <c r="ADD81" s="4"/>
      <c r="ADE81" s="4"/>
      <c r="ADF81" s="4"/>
      <c r="ADG81" s="4"/>
      <c r="ADH81" s="4"/>
      <c r="ADI81" s="4"/>
      <c r="ADJ81" s="4"/>
      <c r="ADK81" s="4"/>
      <c r="ADL81" s="4"/>
      <c r="ADM81" s="4"/>
      <c r="ADN81" s="4"/>
      <c r="ADO81" s="4"/>
      <c r="ADP81" s="4"/>
      <c r="ADQ81" s="4"/>
      <c r="ADR81" s="4"/>
      <c r="ADS81" s="4"/>
      <c r="ADT81" s="4"/>
      <c r="ADU81" s="4"/>
      <c r="ADV81" s="4"/>
      <c r="ADW81" s="4"/>
      <c r="ADX81" s="4"/>
      <c r="ADY81" s="4"/>
      <c r="ADZ81" s="4"/>
      <c r="AEA81" s="4"/>
      <c r="AEB81" s="4"/>
      <c r="AEC81" s="4"/>
      <c r="AED81" s="4"/>
      <c r="AEE81" s="4"/>
      <c r="AEF81" s="4"/>
      <c r="AEG81" s="4"/>
      <c r="AEH81" s="4"/>
      <c r="AEI81" s="4"/>
      <c r="AEJ81" s="4"/>
      <c r="AEK81" s="4"/>
      <c r="AEL81" s="4"/>
      <c r="AEM81" s="4"/>
      <c r="AEN81" s="4"/>
      <c r="AEO81" s="4"/>
      <c r="AEP81" s="4"/>
      <c r="AEQ81" s="4"/>
      <c r="AER81" s="4"/>
      <c r="AES81" s="4"/>
      <c r="AET81" s="4"/>
      <c r="AEU81" s="4"/>
      <c r="AEV81" s="4"/>
      <c r="AEW81" s="4"/>
      <c r="AEX81" s="4"/>
      <c r="AEY81" s="4"/>
      <c r="AEZ81" s="4"/>
      <c r="AFA81" s="4"/>
      <c r="AFB81" s="4"/>
      <c r="AFC81" s="4"/>
      <c r="AFD81" s="4"/>
      <c r="AFE81" s="4"/>
      <c r="AFF81" s="4"/>
      <c r="AFG81" s="4"/>
      <c r="AFH81" s="4"/>
      <c r="AFI81" s="4"/>
      <c r="AFJ81" s="4"/>
      <c r="AFK81" s="4"/>
      <c r="AFL81" s="4"/>
      <c r="AFM81" s="4"/>
      <c r="AFN81" s="4"/>
      <c r="AFO81" s="4"/>
      <c r="AFP81" s="4"/>
      <c r="AFQ81" s="4"/>
      <c r="AFR81" s="4"/>
      <c r="AFS81" s="4"/>
      <c r="AFT81" s="4"/>
      <c r="AFU81" s="4"/>
      <c r="AFV81" s="4"/>
      <c r="AFW81" s="4"/>
      <c r="AFX81" s="4"/>
      <c r="AFY81" s="4"/>
      <c r="AFZ81" s="4"/>
      <c r="AGA81" s="4"/>
      <c r="AGB81" s="4"/>
      <c r="AGC81" s="4"/>
      <c r="AGD81" s="4"/>
      <c r="AGE81" s="4"/>
      <c r="AGF81" s="4"/>
      <c r="AGG81" s="4"/>
      <c r="AGH81" s="4"/>
      <c r="AGI81" s="4"/>
      <c r="AGJ81" s="4"/>
      <c r="AGK81" s="4"/>
      <c r="AGL81" s="4"/>
      <c r="AGM81" s="4"/>
      <c r="AGN81" s="4"/>
      <c r="AGO81" s="4"/>
      <c r="AGP81" s="4"/>
      <c r="AGQ81" s="4"/>
      <c r="AGR81" s="4"/>
      <c r="AGS81" s="4"/>
      <c r="AGT81" s="4"/>
      <c r="AGU81" s="4"/>
      <c r="AGV81" s="4"/>
      <c r="AGW81" s="4"/>
      <c r="AGX81" s="4"/>
      <c r="AGY81" s="4"/>
      <c r="AGZ81" s="4"/>
      <c r="AHA81" s="4"/>
      <c r="AHB81" s="4"/>
      <c r="AHC81" s="4"/>
      <c r="AHD81" s="4"/>
      <c r="AHE81" s="4"/>
      <c r="AHF81" s="4"/>
      <c r="AHG81" s="4"/>
      <c r="AHH81" s="4"/>
      <c r="AHI81" s="4"/>
      <c r="AHJ81" s="4"/>
      <c r="AHK81" s="4"/>
      <c r="AHL81" s="4"/>
      <c r="AHM81" s="4"/>
      <c r="AHN81" s="4"/>
      <c r="AHO81" s="4"/>
      <c r="AHP81" s="4"/>
      <c r="AHQ81" s="4"/>
      <c r="AHR81" s="4"/>
      <c r="AHS81" s="4"/>
      <c r="AHT81" s="4"/>
      <c r="AHU81" s="4"/>
      <c r="AHV81" s="4"/>
      <c r="AHW81" s="4"/>
      <c r="AHX81" s="4"/>
      <c r="AHY81" s="4"/>
      <c r="AHZ81" s="4"/>
      <c r="AIA81" s="4"/>
      <c r="AIB81" s="4"/>
      <c r="AIC81" s="4"/>
      <c r="AID81" s="4"/>
      <c r="AIE81" s="4"/>
      <c r="AIF81" s="4"/>
      <c r="AIG81" s="4"/>
      <c r="AIH81" s="4"/>
      <c r="AII81" s="4"/>
      <c r="AIJ81" s="4"/>
      <c r="AIK81" s="4"/>
      <c r="AIL81" s="4"/>
      <c r="AIM81" s="4"/>
      <c r="AIN81" s="4"/>
      <c r="AIO81" s="4"/>
      <c r="AIP81" s="4"/>
      <c r="AIQ81" s="4"/>
      <c r="AIR81" s="4"/>
      <c r="AIS81" s="4"/>
      <c r="AIT81" s="4"/>
      <c r="AIU81" s="4"/>
      <c r="AIV81" s="4"/>
      <c r="AIW81" s="4"/>
      <c r="AIX81" s="4"/>
      <c r="AIY81" s="4"/>
      <c r="AIZ81" s="4"/>
      <c r="AJA81" s="4"/>
      <c r="AJB81" s="4"/>
      <c r="AJC81" s="4"/>
      <c r="AJD81" s="4"/>
      <c r="AJE81" s="4"/>
      <c r="AJF81" s="4"/>
      <c r="AJG81" s="4"/>
      <c r="AJH81" s="4"/>
      <c r="AJI81" s="4"/>
      <c r="AJJ81" s="4"/>
      <c r="AJK81" s="4"/>
      <c r="AJL81" s="4"/>
      <c r="AJM81" s="4"/>
      <c r="AJN81" s="4"/>
      <c r="AJO81" s="4"/>
      <c r="AJP81" s="4"/>
      <c r="AJQ81" s="4"/>
      <c r="AJR81" s="4"/>
      <c r="AJS81" s="4"/>
      <c r="AJT81" s="4"/>
      <c r="AJU81" s="4"/>
      <c r="AJV81" s="4"/>
      <c r="AJW81" s="4"/>
      <c r="AJX81" s="4"/>
      <c r="AJY81" s="4"/>
      <c r="AJZ81" s="4"/>
      <c r="AKA81" s="4"/>
      <c r="AKB81" s="4"/>
      <c r="AKC81" s="4"/>
      <c r="AKD81" s="4"/>
      <c r="AKE81" s="4"/>
      <c r="AKF81" s="4"/>
      <c r="AKG81" s="4"/>
      <c r="AKH81" s="4"/>
      <c r="AKI81" s="4"/>
      <c r="AKJ81" s="4"/>
      <c r="AKK81" s="4"/>
      <c r="AKL81" s="4"/>
      <c r="AKM81" s="4"/>
      <c r="AKN81" s="4"/>
      <c r="AKO81" s="4"/>
      <c r="AKP81" s="4"/>
      <c r="AKQ81" s="4"/>
      <c r="AKR81" s="4"/>
      <c r="AKS81" s="4"/>
      <c r="AKT81" s="4"/>
      <c r="AKU81" s="4"/>
      <c r="AKV81" s="4"/>
      <c r="AKW81" s="4"/>
      <c r="AKX81" s="4"/>
      <c r="AKY81" s="4"/>
      <c r="AKZ81" s="4"/>
      <c r="ALA81" s="4"/>
      <c r="ALB81" s="4"/>
      <c r="ALC81" s="4"/>
      <c r="ALD81" s="4"/>
      <c r="ALE81" s="4"/>
      <c r="ALF81" s="4"/>
      <c r="ALG81" s="4"/>
      <c r="ALH81" s="4"/>
      <c r="ALI81" s="4"/>
      <c r="ALJ81" s="4"/>
      <c r="ALK81" s="4"/>
      <c r="ALL81" s="4"/>
      <c r="ALM81" s="4"/>
      <c r="ALN81" s="4"/>
      <c r="ALO81" s="4"/>
      <c r="ALP81" s="4"/>
      <c r="ALQ81" s="4"/>
      <c r="ALR81" s="4"/>
    </row>
    <row r="82" spans="1:1006" x14ac:dyDescent="0.25">
      <c r="A82" s="171" t="s">
        <v>223</v>
      </c>
      <c r="B82" s="61" t="s">
        <v>234</v>
      </c>
      <c r="C82" s="123" t="s">
        <v>572</v>
      </c>
      <c r="D82" s="81" t="s">
        <v>235</v>
      </c>
      <c r="E82" s="49" t="s">
        <v>38</v>
      </c>
      <c r="F82" s="49" t="s">
        <v>34</v>
      </c>
      <c r="G82" s="57" t="s">
        <v>34</v>
      </c>
      <c r="H82" s="55" t="s">
        <v>31</v>
      </c>
      <c r="I82" s="52">
        <v>933669400</v>
      </c>
      <c r="J82" s="53">
        <f>1399+7</f>
        <v>1406</v>
      </c>
      <c r="K82" s="54">
        <v>46033</v>
      </c>
      <c r="L82" s="49" t="s">
        <v>32</v>
      </c>
      <c r="M82" s="49"/>
      <c r="N82" s="53">
        <v>624</v>
      </c>
      <c r="O82" s="54">
        <v>46042</v>
      </c>
      <c r="P82" s="49" t="s">
        <v>32</v>
      </c>
      <c r="Q82" s="55" t="s">
        <v>236</v>
      </c>
      <c r="R82" s="53">
        <v>3055.72</v>
      </c>
      <c r="S82" s="54">
        <v>46060</v>
      </c>
      <c r="T82" s="49" t="s">
        <v>32</v>
      </c>
      <c r="U82" s="53">
        <v>3510</v>
      </c>
      <c r="V82" s="54">
        <v>46042</v>
      </c>
      <c r="W82" s="49" t="s">
        <v>32</v>
      </c>
      <c r="X82" s="56">
        <v>2430</v>
      </c>
      <c r="Y82" s="49" t="s">
        <v>32</v>
      </c>
      <c r="Z82" s="76"/>
      <c r="AA82" s="172" t="s">
        <v>35</v>
      </c>
      <c r="AB82" s="5"/>
      <c r="AC82" s="5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  <c r="UG82" s="4"/>
      <c r="UH82" s="4"/>
      <c r="UI82" s="4"/>
      <c r="UJ82" s="4"/>
      <c r="UK82" s="4"/>
      <c r="UL82" s="4"/>
      <c r="UM82" s="4"/>
      <c r="UN82" s="4"/>
      <c r="UO82" s="4"/>
      <c r="UP82" s="4"/>
      <c r="UQ82" s="4"/>
      <c r="UR82" s="4"/>
      <c r="US82" s="4"/>
      <c r="UT82" s="4"/>
      <c r="UU82" s="4"/>
      <c r="UV82" s="4"/>
      <c r="UW82" s="4"/>
      <c r="UX82" s="4"/>
      <c r="UY82" s="4"/>
      <c r="UZ82" s="4"/>
      <c r="VA82" s="4"/>
      <c r="VB82" s="4"/>
      <c r="VC82" s="4"/>
      <c r="VD82" s="4"/>
      <c r="VE82" s="4"/>
      <c r="VF82" s="4"/>
      <c r="VG82" s="4"/>
      <c r="VH82" s="4"/>
      <c r="VI82" s="4"/>
      <c r="VJ82" s="4"/>
      <c r="VK82" s="4"/>
      <c r="VL82" s="4"/>
      <c r="VM82" s="4"/>
      <c r="VN82" s="4"/>
      <c r="VO82" s="4"/>
      <c r="VP82" s="4"/>
      <c r="VQ82" s="4"/>
      <c r="VR82" s="4"/>
      <c r="VS82" s="4"/>
      <c r="VT82" s="4"/>
      <c r="VU82" s="4"/>
      <c r="VV82" s="4"/>
      <c r="VW82" s="4"/>
      <c r="VX82" s="4"/>
      <c r="VY82" s="4"/>
      <c r="VZ82" s="4"/>
      <c r="WA82" s="4"/>
      <c r="WB82" s="4"/>
      <c r="WC82" s="4"/>
      <c r="WD82" s="4"/>
      <c r="WE82" s="4"/>
      <c r="WF82" s="4"/>
      <c r="WG82" s="4"/>
      <c r="WH82" s="4"/>
      <c r="WI82" s="4"/>
      <c r="WJ82" s="4"/>
      <c r="WK82" s="4"/>
      <c r="WL82" s="4"/>
      <c r="WM82" s="4"/>
      <c r="WN82" s="4"/>
      <c r="WO82" s="4"/>
      <c r="WP82" s="4"/>
      <c r="WQ82" s="4"/>
      <c r="WR82" s="4"/>
      <c r="WS82" s="4"/>
      <c r="WT82" s="4"/>
      <c r="WU82" s="4"/>
      <c r="WV82" s="4"/>
      <c r="WW82" s="4"/>
      <c r="WX82" s="4"/>
      <c r="WY82" s="4"/>
      <c r="WZ82" s="4"/>
      <c r="XA82" s="4"/>
      <c r="XB82" s="4"/>
      <c r="XC82" s="4"/>
      <c r="XD82" s="4"/>
      <c r="XE82" s="4"/>
      <c r="XF82" s="4"/>
      <c r="XG82" s="4"/>
      <c r="XH82" s="4"/>
      <c r="XI82" s="4"/>
      <c r="XJ82" s="4"/>
      <c r="XK82" s="4"/>
      <c r="XL82" s="4"/>
      <c r="XM82" s="4"/>
      <c r="XN82" s="4"/>
      <c r="XO82" s="4"/>
      <c r="XP82" s="4"/>
      <c r="XQ82" s="4"/>
      <c r="XR82" s="4"/>
      <c r="XS82" s="4"/>
      <c r="XT82" s="4"/>
      <c r="XU82" s="4"/>
      <c r="XV82" s="4"/>
      <c r="XW82" s="4"/>
      <c r="XX82" s="4"/>
      <c r="XY82" s="4"/>
      <c r="XZ82" s="4"/>
      <c r="YA82" s="4"/>
      <c r="YB82" s="4"/>
      <c r="YC82" s="4"/>
      <c r="YD82" s="4"/>
      <c r="YE82" s="4"/>
      <c r="YF82" s="4"/>
      <c r="YG82" s="4"/>
      <c r="YH82" s="4"/>
      <c r="YI82" s="4"/>
      <c r="YJ82" s="4"/>
      <c r="YK82" s="4"/>
      <c r="YL82" s="4"/>
      <c r="YM82" s="4"/>
      <c r="YN82" s="4"/>
      <c r="YO82" s="4"/>
      <c r="YP82" s="4"/>
      <c r="YQ82" s="4"/>
      <c r="YR82" s="4"/>
      <c r="YS82" s="4"/>
      <c r="YT82" s="4"/>
      <c r="YU82" s="4"/>
      <c r="YV82" s="4"/>
      <c r="YW82" s="4"/>
      <c r="YX82" s="4"/>
      <c r="YY82" s="4"/>
      <c r="YZ82" s="4"/>
      <c r="ZA82" s="4"/>
      <c r="ZB82" s="4"/>
      <c r="ZC82" s="4"/>
      <c r="ZD82" s="4"/>
      <c r="ZE82" s="4"/>
      <c r="ZF82" s="4"/>
      <c r="ZG82" s="4"/>
      <c r="ZH82" s="4"/>
      <c r="ZI82" s="4"/>
      <c r="ZJ82" s="4"/>
      <c r="ZK82" s="4"/>
      <c r="ZL82" s="4"/>
      <c r="ZM82" s="4"/>
      <c r="ZN82" s="4"/>
      <c r="ZO82" s="4"/>
      <c r="ZP82" s="4"/>
      <c r="ZQ82" s="4"/>
      <c r="ZR82" s="4"/>
      <c r="ZS82" s="4"/>
      <c r="ZT82" s="4"/>
      <c r="ZU82" s="4"/>
      <c r="ZV82" s="4"/>
      <c r="ZW82" s="4"/>
      <c r="ZX82" s="4"/>
      <c r="ZY82" s="4"/>
      <c r="ZZ82" s="4"/>
      <c r="AAA82" s="4"/>
      <c r="AAB82" s="4"/>
      <c r="AAC82" s="4"/>
      <c r="AAD82" s="4"/>
      <c r="AAE82" s="4"/>
      <c r="AAF82" s="4"/>
      <c r="AAG82" s="4"/>
      <c r="AAH82" s="4"/>
      <c r="AAI82" s="4"/>
      <c r="AAJ82" s="4"/>
      <c r="AAK82" s="4"/>
      <c r="AAL82" s="4"/>
      <c r="AAM82" s="4"/>
      <c r="AAN82" s="4"/>
      <c r="AAO82" s="4"/>
      <c r="AAP82" s="4"/>
      <c r="AAQ82" s="4"/>
      <c r="AAR82" s="4"/>
      <c r="AAS82" s="4"/>
      <c r="AAT82" s="4"/>
      <c r="AAU82" s="4"/>
      <c r="AAV82" s="4"/>
      <c r="AAW82" s="4"/>
      <c r="AAX82" s="4"/>
      <c r="AAY82" s="4"/>
      <c r="AAZ82" s="4"/>
      <c r="ABA82" s="4"/>
      <c r="ABB82" s="4"/>
      <c r="ABC82" s="4"/>
      <c r="ABD82" s="4"/>
      <c r="ABE82" s="4"/>
      <c r="ABF82" s="4"/>
      <c r="ABG82" s="4"/>
      <c r="ABH82" s="4"/>
      <c r="ABI82" s="4"/>
      <c r="ABJ82" s="4"/>
      <c r="ABK82" s="4"/>
      <c r="ABL82" s="4"/>
      <c r="ABM82" s="4"/>
      <c r="ABN82" s="4"/>
      <c r="ABO82" s="4"/>
      <c r="ABP82" s="4"/>
      <c r="ABQ82" s="4"/>
      <c r="ABR82" s="4"/>
      <c r="ABS82" s="4"/>
      <c r="ABT82" s="4"/>
      <c r="ABU82" s="4"/>
      <c r="ABV82" s="4"/>
      <c r="ABW82" s="4"/>
      <c r="ABX82" s="4"/>
      <c r="ABY82" s="4"/>
      <c r="ABZ82" s="4"/>
      <c r="ACA82" s="4"/>
      <c r="ACB82" s="4"/>
      <c r="ACC82" s="4"/>
      <c r="ACD82" s="4"/>
      <c r="ACE82" s="4"/>
      <c r="ACF82" s="4"/>
      <c r="ACG82" s="4"/>
      <c r="ACH82" s="4"/>
      <c r="ACI82" s="4"/>
      <c r="ACJ82" s="4"/>
      <c r="ACK82" s="4"/>
      <c r="ACL82" s="4"/>
      <c r="ACM82" s="4"/>
      <c r="ACN82" s="4"/>
      <c r="ACO82" s="4"/>
      <c r="ACP82" s="4"/>
      <c r="ACQ82" s="4"/>
      <c r="ACR82" s="4"/>
      <c r="ACS82" s="4"/>
      <c r="ACT82" s="4"/>
      <c r="ACU82" s="4"/>
      <c r="ACV82" s="4"/>
      <c r="ACW82" s="4"/>
      <c r="ACX82" s="4"/>
      <c r="ACY82" s="4"/>
      <c r="ACZ82" s="4"/>
      <c r="ADA82" s="4"/>
      <c r="ADB82" s="4"/>
      <c r="ADC82" s="4"/>
      <c r="ADD82" s="4"/>
      <c r="ADE82" s="4"/>
      <c r="ADF82" s="4"/>
      <c r="ADG82" s="4"/>
      <c r="ADH82" s="4"/>
      <c r="ADI82" s="4"/>
      <c r="ADJ82" s="4"/>
      <c r="ADK82" s="4"/>
      <c r="ADL82" s="4"/>
      <c r="ADM82" s="4"/>
      <c r="ADN82" s="4"/>
      <c r="ADO82" s="4"/>
      <c r="ADP82" s="4"/>
      <c r="ADQ82" s="4"/>
      <c r="ADR82" s="4"/>
      <c r="ADS82" s="4"/>
      <c r="ADT82" s="4"/>
      <c r="ADU82" s="4"/>
      <c r="ADV82" s="4"/>
      <c r="ADW82" s="4"/>
      <c r="ADX82" s="4"/>
      <c r="ADY82" s="4"/>
      <c r="ADZ82" s="4"/>
      <c r="AEA82" s="4"/>
      <c r="AEB82" s="4"/>
      <c r="AEC82" s="4"/>
      <c r="AED82" s="4"/>
      <c r="AEE82" s="4"/>
      <c r="AEF82" s="4"/>
      <c r="AEG82" s="4"/>
      <c r="AEH82" s="4"/>
      <c r="AEI82" s="4"/>
      <c r="AEJ82" s="4"/>
      <c r="AEK82" s="4"/>
      <c r="AEL82" s="4"/>
      <c r="AEM82" s="4"/>
      <c r="AEN82" s="4"/>
      <c r="AEO82" s="4"/>
      <c r="AEP82" s="4"/>
      <c r="AEQ82" s="4"/>
      <c r="AER82" s="4"/>
      <c r="AES82" s="4"/>
      <c r="AET82" s="4"/>
      <c r="AEU82" s="4"/>
      <c r="AEV82" s="4"/>
      <c r="AEW82" s="4"/>
      <c r="AEX82" s="4"/>
      <c r="AEY82" s="4"/>
      <c r="AEZ82" s="4"/>
      <c r="AFA82" s="4"/>
      <c r="AFB82" s="4"/>
      <c r="AFC82" s="4"/>
      <c r="AFD82" s="4"/>
      <c r="AFE82" s="4"/>
      <c r="AFF82" s="4"/>
      <c r="AFG82" s="4"/>
      <c r="AFH82" s="4"/>
      <c r="AFI82" s="4"/>
      <c r="AFJ82" s="4"/>
      <c r="AFK82" s="4"/>
      <c r="AFL82" s="4"/>
      <c r="AFM82" s="4"/>
      <c r="AFN82" s="4"/>
      <c r="AFO82" s="4"/>
      <c r="AFP82" s="4"/>
      <c r="AFQ82" s="4"/>
      <c r="AFR82" s="4"/>
      <c r="AFS82" s="4"/>
      <c r="AFT82" s="4"/>
      <c r="AFU82" s="4"/>
      <c r="AFV82" s="4"/>
      <c r="AFW82" s="4"/>
      <c r="AFX82" s="4"/>
      <c r="AFY82" s="4"/>
      <c r="AFZ82" s="4"/>
      <c r="AGA82" s="4"/>
      <c r="AGB82" s="4"/>
      <c r="AGC82" s="4"/>
      <c r="AGD82" s="4"/>
      <c r="AGE82" s="4"/>
      <c r="AGF82" s="4"/>
      <c r="AGG82" s="4"/>
      <c r="AGH82" s="4"/>
      <c r="AGI82" s="4"/>
      <c r="AGJ82" s="4"/>
      <c r="AGK82" s="4"/>
      <c r="AGL82" s="4"/>
      <c r="AGM82" s="4"/>
      <c r="AGN82" s="4"/>
      <c r="AGO82" s="4"/>
      <c r="AGP82" s="4"/>
      <c r="AGQ82" s="4"/>
      <c r="AGR82" s="4"/>
      <c r="AGS82" s="4"/>
      <c r="AGT82" s="4"/>
      <c r="AGU82" s="4"/>
      <c r="AGV82" s="4"/>
      <c r="AGW82" s="4"/>
      <c r="AGX82" s="4"/>
      <c r="AGY82" s="4"/>
      <c r="AGZ82" s="4"/>
      <c r="AHA82" s="4"/>
      <c r="AHB82" s="4"/>
      <c r="AHC82" s="4"/>
      <c r="AHD82" s="4"/>
      <c r="AHE82" s="4"/>
      <c r="AHF82" s="4"/>
      <c r="AHG82" s="4"/>
      <c r="AHH82" s="4"/>
      <c r="AHI82" s="4"/>
      <c r="AHJ82" s="4"/>
      <c r="AHK82" s="4"/>
      <c r="AHL82" s="4"/>
      <c r="AHM82" s="4"/>
      <c r="AHN82" s="4"/>
      <c r="AHO82" s="4"/>
      <c r="AHP82" s="4"/>
      <c r="AHQ82" s="4"/>
      <c r="AHR82" s="4"/>
      <c r="AHS82" s="4"/>
      <c r="AHT82" s="4"/>
      <c r="AHU82" s="4"/>
      <c r="AHV82" s="4"/>
      <c r="AHW82" s="4"/>
      <c r="AHX82" s="4"/>
      <c r="AHY82" s="4"/>
      <c r="AHZ82" s="4"/>
      <c r="AIA82" s="4"/>
      <c r="AIB82" s="4"/>
      <c r="AIC82" s="4"/>
      <c r="AID82" s="4"/>
      <c r="AIE82" s="4"/>
      <c r="AIF82" s="4"/>
      <c r="AIG82" s="4"/>
      <c r="AIH82" s="4"/>
      <c r="AII82" s="4"/>
      <c r="AIJ82" s="4"/>
      <c r="AIK82" s="4"/>
      <c r="AIL82" s="4"/>
      <c r="AIM82" s="4"/>
      <c r="AIN82" s="4"/>
      <c r="AIO82" s="4"/>
      <c r="AIP82" s="4"/>
      <c r="AIQ82" s="4"/>
      <c r="AIR82" s="4"/>
      <c r="AIS82" s="4"/>
      <c r="AIT82" s="4"/>
      <c r="AIU82" s="4"/>
      <c r="AIV82" s="4"/>
      <c r="AIW82" s="4"/>
      <c r="AIX82" s="4"/>
      <c r="AIY82" s="4"/>
      <c r="AIZ82" s="4"/>
      <c r="AJA82" s="4"/>
      <c r="AJB82" s="4"/>
      <c r="AJC82" s="4"/>
      <c r="AJD82" s="4"/>
      <c r="AJE82" s="4"/>
      <c r="AJF82" s="4"/>
      <c r="AJG82" s="4"/>
      <c r="AJH82" s="4"/>
      <c r="AJI82" s="4"/>
      <c r="AJJ82" s="4"/>
      <c r="AJK82" s="4"/>
      <c r="AJL82" s="4"/>
      <c r="AJM82" s="4"/>
      <c r="AJN82" s="4"/>
      <c r="AJO82" s="4"/>
      <c r="AJP82" s="4"/>
      <c r="AJQ82" s="4"/>
      <c r="AJR82" s="4"/>
      <c r="AJS82" s="4"/>
      <c r="AJT82" s="4"/>
      <c r="AJU82" s="4"/>
      <c r="AJV82" s="4"/>
      <c r="AJW82" s="4"/>
      <c r="AJX82" s="4"/>
      <c r="AJY82" s="4"/>
      <c r="AJZ82" s="4"/>
      <c r="AKA82" s="4"/>
      <c r="AKB82" s="4"/>
      <c r="AKC82" s="4"/>
      <c r="AKD82" s="4"/>
      <c r="AKE82" s="4"/>
      <c r="AKF82" s="4"/>
      <c r="AKG82" s="4"/>
      <c r="AKH82" s="4"/>
      <c r="AKI82" s="4"/>
      <c r="AKJ82" s="4"/>
      <c r="AKK82" s="4"/>
      <c r="AKL82" s="4"/>
      <c r="AKM82" s="4"/>
      <c r="AKN82" s="4"/>
      <c r="AKO82" s="4"/>
      <c r="AKP82" s="4"/>
      <c r="AKQ82" s="4"/>
      <c r="AKR82" s="4"/>
      <c r="AKS82" s="4"/>
      <c r="AKT82" s="4"/>
      <c r="AKU82" s="4"/>
      <c r="AKV82" s="4"/>
      <c r="AKW82" s="4"/>
      <c r="AKX82" s="4"/>
      <c r="AKY82" s="4"/>
      <c r="AKZ82" s="4"/>
      <c r="ALA82" s="4"/>
      <c r="ALB82" s="4"/>
      <c r="ALC82" s="4"/>
      <c r="ALD82" s="4"/>
      <c r="ALE82" s="4"/>
      <c r="ALF82" s="4"/>
      <c r="ALG82" s="4"/>
      <c r="ALH82" s="4"/>
      <c r="ALI82" s="4"/>
      <c r="ALJ82" s="4"/>
      <c r="ALK82" s="4"/>
      <c r="ALL82" s="4"/>
      <c r="ALM82" s="4"/>
      <c r="ALN82" s="4"/>
      <c r="ALO82" s="4"/>
      <c r="ALP82" s="4"/>
      <c r="ALQ82" s="4"/>
      <c r="ALR82" s="4"/>
    </row>
    <row r="83" spans="1:1006" x14ac:dyDescent="0.25">
      <c r="A83" s="171" t="s">
        <v>223</v>
      </c>
      <c r="B83" s="55" t="s">
        <v>237</v>
      </c>
      <c r="C83" s="123" t="s">
        <v>594</v>
      </c>
      <c r="D83" s="81" t="s">
        <v>238</v>
      </c>
      <c r="E83" s="49" t="s">
        <v>38</v>
      </c>
      <c r="F83" s="49" t="s">
        <v>34</v>
      </c>
      <c r="G83" s="57" t="s">
        <v>34</v>
      </c>
      <c r="H83" s="55" t="s">
        <v>127</v>
      </c>
      <c r="I83" s="52" t="s">
        <v>239</v>
      </c>
      <c r="J83" s="53">
        <f>1299+3</f>
        <v>1302</v>
      </c>
      <c r="K83" s="54">
        <v>46037</v>
      </c>
      <c r="L83" s="49" t="s">
        <v>32</v>
      </c>
      <c r="M83" s="49"/>
      <c r="N83" s="53">
        <v>390</v>
      </c>
      <c r="O83" s="54">
        <v>46042</v>
      </c>
      <c r="P83" s="49" t="s">
        <v>32</v>
      </c>
      <c r="Q83" s="55" t="s">
        <v>240</v>
      </c>
      <c r="R83" s="53">
        <v>2661.18</v>
      </c>
      <c r="S83" s="54">
        <v>46060</v>
      </c>
      <c r="T83" s="49" t="s">
        <v>32</v>
      </c>
      <c r="U83" s="53">
        <v>3510</v>
      </c>
      <c r="V83" s="54">
        <v>46042</v>
      </c>
      <c r="W83" s="49" t="s">
        <v>32</v>
      </c>
      <c r="X83" s="56">
        <v>2430</v>
      </c>
      <c r="Y83" s="49" t="s">
        <v>32</v>
      </c>
      <c r="Z83" s="76"/>
      <c r="AA83" s="172" t="s">
        <v>35</v>
      </c>
      <c r="AB83" s="5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  <c r="AJG83" s="4"/>
      <c r="AJH83" s="4"/>
      <c r="AJI83" s="4"/>
      <c r="AJJ83" s="4"/>
      <c r="AJK83" s="4"/>
      <c r="AJL83" s="4"/>
      <c r="AJM83" s="4"/>
      <c r="AJN83" s="4"/>
      <c r="AJO83" s="4"/>
      <c r="AJP83" s="4"/>
      <c r="AJQ83" s="4"/>
      <c r="AJR83" s="4"/>
      <c r="AJS83" s="4"/>
      <c r="AJT83" s="4"/>
      <c r="AJU83" s="4"/>
      <c r="AJV83" s="4"/>
      <c r="AJW83" s="4"/>
      <c r="AJX83" s="4"/>
      <c r="AJY83" s="4"/>
      <c r="AJZ83" s="4"/>
      <c r="AKA83" s="4"/>
      <c r="AKB83" s="4"/>
      <c r="AKC83" s="4"/>
      <c r="AKD83" s="4"/>
      <c r="AKE83" s="4"/>
      <c r="AKF83" s="4"/>
      <c r="AKG83" s="4"/>
      <c r="AKH83" s="4"/>
      <c r="AKI83" s="4"/>
      <c r="AKJ83" s="4"/>
      <c r="AKK83" s="4"/>
      <c r="AKL83" s="4"/>
      <c r="AKM83" s="4"/>
      <c r="AKN83" s="4"/>
      <c r="AKO83" s="4"/>
      <c r="AKP83" s="4"/>
      <c r="AKQ83" s="4"/>
      <c r="AKR83" s="4"/>
      <c r="AKS83" s="4"/>
      <c r="AKT83" s="4"/>
      <c r="AKU83" s="4"/>
      <c r="AKV83" s="4"/>
      <c r="AKW83" s="4"/>
      <c r="AKX83" s="4"/>
      <c r="AKY83" s="4"/>
      <c r="AKZ83" s="4"/>
      <c r="ALA83" s="4"/>
      <c r="ALB83" s="4"/>
      <c r="ALC83" s="4"/>
      <c r="ALD83" s="4"/>
      <c r="ALE83" s="4"/>
      <c r="ALF83" s="4"/>
      <c r="ALG83" s="4"/>
      <c r="ALH83" s="4"/>
      <c r="ALI83" s="4"/>
      <c r="ALJ83" s="4"/>
      <c r="ALK83" s="4"/>
      <c r="ALL83" s="4"/>
      <c r="ALM83" s="4"/>
      <c r="ALN83" s="4"/>
      <c r="ALO83" s="4"/>
      <c r="ALP83" s="4"/>
      <c r="ALQ83" s="4"/>
      <c r="ALR83" s="4"/>
    </row>
    <row r="84" spans="1:1006" x14ac:dyDescent="0.25">
      <c r="A84" s="171" t="s">
        <v>223</v>
      </c>
      <c r="B84" s="55" t="s">
        <v>241</v>
      </c>
      <c r="C84" s="123" t="s">
        <v>599</v>
      </c>
      <c r="D84" s="81" t="s">
        <v>195</v>
      </c>
      <c r="E84" s="49" t="s">
        <v>38</v>
      </c>
      <c r="F84" s="49" t="s">
        <v>34</v>
      </c>
      <c r="G84" s="57" t="s">
        <v>34</v>
      </c>
      <c r="H84" s="55" t="s">
        <v>376</v>
      </c>
      <c r="I84" s="52" t="s">
        <v>242</v>
      </c>
      <c r="J84" s="53">
        <f>1299+3</f>
        <v>1302</v>
      </c>
      <c r="K84" s="54">
        <v>46034</v>
      </c>
      <c r="L84" s="49" t="s">
        <v>32</v>
      </c>
      <c r="M84" s="49"/>
      <c r="N84" s="53">
        <v>234</v>
      </c>
      <c r="O84" s="54">
        <v>46042</v>
      </c>
      <c r="P84" s="49" t="s">
        <v>32</v>
      </c>
      <c r="Q84" s="55" t="s">
        <v>243</v>
      </c>
      <c r="R84" s="53">
        <v>4355.6099999999997</v>
      </c>
      <c r="S84" s="54">
        <v>46060</v>
      </c>
      <c r="T84" s="49" t="s">
        <v>32</v>
      </c>
      <c r="U84" s="53">
        <v>3510</v>
      </c>
      <c r="V84" s="54">
        <v>46042</v>
      </c>
      <c r="W84" s="49" t="s">
        <v>32</v>
      </c>
      <c r="X84" s="56">
        <v>2430</v>
      </c>
      <c r="Y84" s="49" t="s">
        <v>32</v>
      </c>
      <c r="Z84" s="76"/>
      <c r="AA84" s="172" t="s">
        <v>35</v>
      </c>
      <c r="AB84" s="5"/>
      <c r="AC84" s="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  <c r="ADQ84" s="4"/>
      <c r="ADR84" s="4"/>
      <c r="ADS84" s="4"/>
      <c r="ADT84" s="4"/>
      <c r="ADU84" s="4"/>
      <c r="ADV84" s="4"/>
      <c r="ADW84" s="4"/>
      <c r="ADX84" s="4"/>
      <c r="ADY84" s="4"/>
      <c r="ADZ84" s="4"/>
      <c r="AEA84" s="4"/>
      <c r="AEB84" s="4"/>
      <c r="AEC84" s="4"/>
      <c r="AED84" s="4"/>
      <c r="AEE84" s="4"/>
      <c r="AEF84" s="4"/>
      <c r="AEG84" s="4"/>
      <c r="AEH84" s="4"/>
      <c r="AEI84" s="4"/>
      <c r="AEJ84" s="4"/>
      <c r="AEK84" s="4"/>
      <c r="AEL84" s="4"/>
      <c r="AEM84" s="4"/>
      <c r="AEN84" s="4"/>
      <c r="AEO84" s="4"/>
      <c r="AEP84" s="4"/>
      <c r="AEQ84" s="4"/>
      <c r="AER84" s="4"/>
      <c r="AES84" s="4"/>
      <c r="AET84" s="4"/>
      <c r="AEU84" s="4"/>
      <c r="AEV84" s="4"/>
      <c r="AEW84" s="4"/>
      <c r="AEX84" s="4"/>
      <c r="AEY84" s="4"/>
      <c r="AEZ84" s="4"/>
      <c r="AFA84" s="4"/>
      <c r="AFB84" s="4"/>
      <c r="AFC84" s="4"/>
      <c r="AFD84" s="4"/>
      <c r="AFE84" s="4"/>
      <c r="AFF84" s="4"/>
      <c r="AFG84" s="4"/>
      <c r="AFH84" s="4"/>
      <c r="AFI84" s="4"/>
      <c r="AFJ84" s="4"/>
      <c r="AFK84" s="4"/>
      <c r="AFL84" s="4"/>
      <c r="AFM84" s="4"/>
      <c r="AFN84" s="4"/>
      <c r="AFO84" s="4"/>
      <c r="AFP84" s="4"/>
      <c r="AFQ84" s="4"/>
      <c r="AFR84" s="4"/>
      <c r="AFS84" s="4"/>
      <c r="AFT84" s="4"/>
      <c r="AFU84" s="4"/>
      <c r="AFV84" s="4"/>
      <c r="AFW84" s="4"/>
      <c r="AFX84" s="4"/>
      <c r="AFY84" s="4"/>
      <c r="AFZ84" s="4"/>
      <c r="AGA84" s="4"/>
      <c r="AGB84" s="4"/>
      <c r="AGC84" s="4"/>
      <c r="AGD84" s="4"/>
      <c r="AGE84" s="4"/>
      <c r="AGF84" s="4"/>
      <c r="AGG84" s="4"/>
      <c r="AGH84" s="4"/>
      <c r="AGI84" s="4"/>
      <c r="AGJ84" s="4"/>
      <c r="AGK84" s="4"/>
      <c r="AGL84" s="4"/>
      <c r="AGM84" s="4"/>
      <c r="AGN84" s="4"/>
      <c r="AGO84" s="4"/>
      <c r="AGP84" s="4"/>
      <c r="AGQ84" s="4"/>
      <c r="AGR84" s="4"/>
      <c r="AGS84" s="4"/>
      <c r="AGT84" s="4"/>
      <c r="AGU84" s="4"/>
      <c r="AGV84" s="4"/>
      <c r="AGW84" s="4"/>
      <c r="AGX84" s="4"/>
      <c r="AGY84" s="4"/>
      <c r="AGZ84" s="4"/>
      <c r="AHA84" s="4"/>
      <c r="AHB84" s="4"/>
      <c r="AHC84" s="4"/>
      <c r="AHD84" s="4"/>
      <c r="AHE84" s="4"/>
      <c r="AHF84" s="4"/>
      <c r="AHG84" s="4"/>
      <c r="AHH84" s="4"/>
      <c r="AHI84" s="4"/>
      <c r="AHJ84" s="4"/>
      <c r="AHK84" s="4"/>
      <c r="AHL84" s="4"/>
      <c r="AHM84" s="4"/>
      <c r="AHN84" s="4"/>
      <c r="AHO84" s="4"/>
      <c r="AHP84" s="4"/>
      <c r="AHQ84" s="4"/>
      <c r="AHR84" s="4"/>
      <c r="AHS84" s="4"/>
      <c r="AHT84" s="4"/>
      <c r="AHU84" s="4"/>
      <c r="AHV84" s="4"/>
      <c r="AHW84" s="4"/>
      <c r="AHX84" s="4"/>
      <c r="AHY84" s="4"/>
      <c r="AHZ84" s="4"/>
      <c r="AIA84" s="4"/>
      <c r="AIB84" s="4"/>
      <c r="AIC84" s="4"/>
      <c r="AID84" s="4"/>
      <c r="AIE84" s="4"/>
      <c r="AIF84" s="4"/>
      <c r="AIG84" s="4"/>
      <c r="AIH84" s="4"/>
      <c r="AII84" s="4"/>
      <c r="AIJ84" s="4"/>
      <c r="AIK84" s="4"/>
      <c r="AIL84" s="4"/>
      <c r="AIM84" s="4"/>
      <c r="AIN84" s="4"/>
      <c r="AIO84" s="4"/>
      <c r="AIP84" s="4"/>
      <c r="AIQ84" s="4"/>
      <c r="AIR84" s="4"/>
      <c r="AIS84" s="4"/>
      <c r="AIT84" s="4"/>
      <c r="AIU84" s="4"/>
      <c r="AIV84" s="4"/>
      <c r="AIW84" s="4"/>
      <c r="AIX84" s="4"/>
      <c r="AIY84" s="4"/>
      <c r="AIZ84" s="4"/>
      <c r="AJA84" s="4"/>
      <c r="AJB84" s="4"/>
      <c r="AJC84" s="4"/>
      <c r="AJD84" s="4"/>
      <c r="AJE84" s="4"/>
      <c r="AJF84" s="4"/>
      <c r="AJG84" s="4"/>
      <c r="AJH84" s="4"/>
      <c r="AJI84" s="4"/>
      <c r="AJJ84" s="4"/>
      <c r="AJK84" s="4"/>
      <c r="AJL84" s="4"/>
      <c r="AJM84" s="4"/>
      <c r="AJN84" s="4"/>
      <c r="AJO84" s="4"/>
      <c r="AJP84" s="4"/>
      <c r="AJQ84" s="4"/>
      <c r="AJR84" s="4"/>
      <c r="AJS84" s="4"/>
      <c r="AJT84" s="4"/>
      <c r="AJU84" s="4"/>
      <c r="AJV84" s="4"/>
      <c r="AJW84" s="4"/>
      <c r="AJX84" s="4"/>
      <c r="AJY84" s="4"/>
      <c r="AJZ84" s="4"/>
      <c r="AKA84" s="4"/>
      <c r="AKB84" s="4"/>
      <c r="AKC84" s="4"/>
      <c r="AKD84" s="4"/>
      <c r="AKE84" s="4"/>
      <c r="AKF84" s="4"/>
      <c r="AKG84" s="4"/>
      <c r="AKH84" s="4"/>
      <c r="AKI84" s="4"/>
      <c r="AKJ84" s="4"/>
      <c r="AKK84" s="4"/>
      <c r="AKL84" s="4"/>
      <c r="AKM84" s="4"/>
      <c r="AKN84" s="4"/>
      <c r="AKO84" s="4"/>
      <c r="AKP84" s="4"/>
      <c r="AKQ84" s="4"/>
      <c r="AKR84" s="4"/>
      <c r="AKS84" s="4"/>
      <c r="AKT84" s="4"/>
      <c r="AKU84" s="4"/>
      <c r="AKV84" s="4"/>
      <c r="AKW84" s="4"/>
      <c r="AKX84" s="4"/>
      <c r="AKY84" s="4"/>
      <c r="AKZ84" s="4"/>
      <c r="ALA84" s="4"/>
      <c r="ALB84" s="4"/>
      <c r="ALC84" s="4"/>
      <c r="ALD84" s="4"/>
      <c r="ALE84" s="4"/>
      <c r="ALF84" s="4"/>
      <c r="ALG84" s="4"/>
      <c r="ALH84" s="4"/>
      <c r="ALI84" s="4"/>
      <c r="ALJ84" s="4"/>
      <c r="ALK84" s="4"/>
      <c r="ALL84" s="4"/>
      <c r="ALM84" s="4"/>
      <c r="ALN84" s="4"/>
      <c r="ALO84" s="4"/>
      <c r="ALP84" s="4"/>
      <c r="ALQ84" s="4"/>
      <c r="ALR84" s="4"/>
    </row>
    <row r="85" spans="1:1006" x14ac:dyDescent="0.25">
      <c r="A85" s="177" t="s">
        <v>223</v>
      </c>
      <c r="B85" s="45" t="s">
        <v>513</v>
      </c>
      <c r="C85" s="123" t="s">
        <v>597</v>
      </c>
      <c r="D85" s="181" t="s">
        <v>523</v>
      </c>
      <c r="E85" s="49"/>
      <c r="F85" s="49"/>
      <c r="G85" s="57"/>
      <c r="H85" s="55" t="s">
        <v>517</v>
      </c>
      <c r="I85" s="52" t="s">
        <v>519</v>
      </c>
      <c r="J85" s="53">
        <v>1302</v>
      </c>
      <c r="K85" s="54">
        <v>46044</v>
      </c>
      <c r="L85" s="49" t="s">
        <v>32</v>
      </c>
      <c r="M85" s="49"/>
      <c r="N85" s="53"/>
      <c r="O85" s="54"/>
      <c r="P85" s="49"/>
      <c r="Q85" s="55" t="s">
        <v>521</v>
      </c>
      <c r="R85" s="53">
        <v>597.53</v>
      </c>
      <c r="S85" s="54">
        <v>46058</v>
      </c>
      <c r="T85" s="49" t="s">
        <v>32</v>
      </c>
      <c r="U85" s="53"/>
      <c r="V85" s="54"/>
      <c r="W85" s="49"/>
      <c r="X85" s="56"/>
      <c r="Y85" s="49" t="s">
        <v>34</v>
      </c>
      <c r="Z85" s="76"/>
      <c r="AA85" s="172"/>
      <c r="AB85" s="5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</row>
    <row r="86" spans="1:1006" x14ac:dyDescent="0.25">
      <c r="A86" s="171" t="s">
        <v>244</v>
      </c>
      <c r="B86" s="55" t="s">
        <v>245</v>
      </c>
      <c r="C86" s="123" t="s">
        <v>567</v>
      </c>
      <c r="D86" s="81" t="s">
        <v>246</v>
      </c>
      <c r="E86" s="49" t="s">
        <v>38</v>
      </c>
      <c r="F86" s="49" t="s">
        <v>34</v>
      </c>
      <c r="G86" s="57" t="s">
        <v>34</v>
      </c>
      <c r="H86" s="49" t="s">
        <v>31</v>
      </c>
      <c r="I86" s="52">
        <v>935685131</v>
      </c>
      <c r="J86" s="53">
        <f>1499+7</f>
        <v>1506</v>
      </c>
      <c r="K86" s="54">
        <v>46048</v>
      </c>
      <c r="L86" s="49" t="s">
        <v>32</v>
      </c>
      <c r="M86" s="55"/>
      <c r="N86" s="53">
        <v>0</v>
      </c>
      <c r="O86" s="54">
        <v>46042</v>
      </c>
      <c r="P86" s="49" t="s">
        <v>193</v>
      </c>
      <c r="Q86" s="55" t="s">
        <v>247</v>
      </c>
      <c r="R86" s="53">
        <v>3179.6</v>
      </c>
      <c r="S86" s="54">
        <v>46060</v>
      </c>
      <c r="T86" s="49" t="s">
        <v>32</v>
      </c>
      <c r="U86" s="53">
        <v>0</v>
      </c>
      <c r="V86" s="54">
        <v>46042</v>
      </c>
      <c r="W86" s="49" t="s">
        <v>193</v>
      </c>
      <c r="X86" s="56">
        <v>0</v>
      </c>
      <c r="Y86" s="49" t="s">
        <v>32</v>
      </c>
      <c r="Z86" s="53"/>
      <c r="AA86" s="172" t="s">
        <v>35</v>
      </c>
      <c r="AB86" s="5"/>
      <c r="AC86" s="5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</row>
    <row r="87" spans="1:1006" x14ac:dyDescent="0.25">
      <c r="A87" s="171" t="s">
        <v>244</v>
      </c>
      <c r="B87" s="58" t="s">
        <v>471</v>
      </c>
      <c r="C87" s="123" t="s">
        <v>585</v>
      </c>
      <c r="D87" s="81" t="s">
        <v>248</v>
      </c>
      <c r="E87" s="49" t="s">
        <v>38</v>
      </c>
      <c r="F87" s="49" t="s">
        <v>34</v>
      </c>
      <c r="G87" s="49" t="s">
        <v>34</v>
      </c>
      <c r="H87" s="49" t="s">
        <v>249</v>
      </c>
      <c r="I87" s="49">
        <v>935125662</v>
      </c>
      <c r="J87" s="53">
        <f>1499+100+7</f>
        <v>1606</v>
      </c>
      <c r="K87" s="54">
        <v>46036</v>
      </c>
      <c r="L87" s="49" t="s">
        <v>32</v>
      </c>
      <c r="M87" s="55"/>
      <c r="N87" s="53">
        <v>3120</v>
      </c>
      <c r="O87" s="54">
        <v>46042</v>
      </c>
      <c r="P87" s="49" t="s">
        <v>32</v>
      </c>
      <c r="Q87" s="55" t="s">
        <v>250</v>
      </c>
      <c r="R87" s="53">
        <v>8810.1200000000008</v>
      </c>
      <c r="S87" s="54">
        <v>46060</v>
      </c>
      <c r="T87" s="49" t="s">
        <v>32</v>
      </c>
      <c r="U87" s="53">
        <v>7540</v>
      </c>
      <c r="V87" s="54">
        <v>46042</v>
      </c>
      <c r="W87" s="49" t="s">
        <v>32</v>
      </c>
      <c r="X87" s="56">
        <v>5220</v>
      </c>
      <c r="Y87" s="49" t="s">
        <v>32</v>
      </c>
      <c r="Z87" s="53"/>
      <c r="AA87" s="172"/>
      <c r="AB87" s="5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</row>
    <row r="88" spans="1:1006" x14ac:dyDescent="0.25">
      <c r="A88" s="171" t="s">
        <v>244</v>
      </c>
      <c r="B88" s="55" t="s">
        <v>473</v>
      </c>
      <c r="C88" s="123" t="s">
        <v>603</v>
      </c>
      <c r="D88" s="81" t="s">
        <v>162</v>
      </c>
      <c r="E88" s="49" t="s">
        <v>38</v>
      </c>
      <c r="F88" s="49" t="s">
        <v>34</v>
      </c>
      <c r="G88" s="57" t="s">
        <v>34</v>
      </c>
      <c r="H88" s="49" t="s">
        <v>251</v>
      </c>
      <c r="I88" s="52">
        <v>931515360</v>
      </c>
      <c r="J88" s="53">
        <f>1699+7</f>
        <v>1706</v>
      </c>
      <c r="K88" s="54">
        <v>46027</v>
      </c>
      <c r="L88" s="49" t="s">
        <v>32</v>
      </c>
      <c r="M88" s="55"/>
      <c r="N88" s="53">
        <v>1014</v>
      </c>
      <c r="O88" s="54">
        <v>46042</v>
      </c>
      <c r="P88" s="49" t="s">
        <v>32</v>
      </c>
      <c r="Q88" s="55" t="s">
        <v>252</v>
      </c>
      <c r="R88" s="53">
        <v>1055.22</v>
      </c>
      <c r="S88" s="54">
        <v>46063</v>
      </c>
      <c r="T88" s="49" t="s">
        <v>32</v>
      </c>
      <c r="U88" s="53">
        <v>4940</v>
      </c>
      <c r="V88" s="54">
        <v>46042</v>
      </c>
      <c r="W88" s="49" t="s">
        <v>32</v>
      </c>
      <c r="X88" s="56">
        <v>3420</v>
      </c>
      <c r="Y88" s="49" t="s">
        <v>32</v>
      </c>
      <c r="Z88" s="53"/>
      <c r="AA88" s="172"/>
      <c r="AB88" s="5"/>
      <c r="AC88" s="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</row>
    <row r="89" spans="1:1006" x14ac:dyDescent="0.25">
      <c r="A89" s="171" t="s">
        <v>244</v>
      </c>
      <c r="B89" s="61" t="s">
        <v>253</v>
      </c>
      <c r="C89" s="123" t="s">
        <v>590</v>
      </c>
      <c r="D89" s="81" t="s">
        <v>153</v>
      </c>
      <c r="E89" s="49" t="s">
        <v>38</v>
      </c>
      <c r="F89" s="49" t="s">
        <v>34</v>
      </c>
      <c r="G89" s="57" t="s">
        <v>34</v>
      </c>
      <c r="H89" s="49" t="s">
        <v>31</v>
      </c>
      <c r="I89" s="52">
        <v>935051367</v>
      </c>
      <c r="J89" s="53">
        <f>1499+100+7</f>
        <v>1606</v>
      </c>
      <c r="K89" s="54">
        <v>46048</v>
      </c>
      <c r="L89" s="49" t="s">
        <v>32</v>
      </c>
      <c r="M89" s="55"/>
      <c r="N89" s="53">
        <v>390</v>
      </c>
      <c r="O89" s="54">
        <v>46042</v>
      </c>
      <c r="P89" s="49" t="s">
        <v>32</v>
      </c>
      <c r="Q89" s="55" t="s">
        <v>254</v>
      </c>
      <c r="R89" s="53">
        <v>3710.69</v>
      </c>
      <c r="S89" s="54">
        <v>46063</v>
      </c>
      <c r="T89" s="49" t="s">
        <v>32</v>
      </c>
      <c r="U89" s="53">
        <v>3510</v>
      </c>
      <c r="V89" s="54">
        <v>46042</v>
      </c>
      <c r="W89" s="49" t="s">
        <v>32</v>
      </c>
      <c r="X89" s="56">
        <v>2430</v>
      </c>
      <c r="Y89" s="49" t="s">
        <v>32</v>
      </c>
      <c r="Z89" s="53"/>
      <c r="AA89" s="172" t="s">
        <v>35</v>
      </c>
      <c r="AB89" s="5"/>
      <c r="AC89" s="5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</row>
    <row r="90" spans="1:1006" x14ac:dyDescent="0.25">
      <c r="A90" s="171" t="s">
        <v>244</v>
      </c>
      <c r="B90" s="61" t="s">
        <v>472</v>
      </c>
      <c r="C90" s="123" t="s">
        <v>570</v>
      </c>
      <c r="D90" s="81" t="s">
        <v>255</v>
      </c>
      <c r="E90" s="49" t="s">
        <v>38</v>
      </c>
      <c r="F90" s="49" t="s">
        <v>34</v>
      </c>
      <c r="G90" s="70" t="s">
        <v>34</v>
      </c>
      <c r="H90" s="49" t="s">
        <v>31</v>
      </c>
      <c r="I90" s="52">
        <v>930692563</v>
      </c>
      <c r="J90" s="53">
        <f>1299+7</f>
        <v>1306</v>
      </c>
      <c r="K90" s="54">
        <v>46027</v>
      </c>
      <c r="L90" s="49" t="s">
        <v>32</v>
      </c>
      <c r="M90" s="55"/>
      <c r="N90" s="53">
        <v>312</v>
      </c>
      <c r="O90" s="54">
        <v>46042</v>
      </c>
      <c r="P90" s="49" t="s">
        <v>32</v>
      </c>
      <c r="Q90" s="55" t="s">
        <v>256</v>
      </c>
      <c r="R90" s="53">
        <v>1093.1400000000001</v>
      </c>
      <c r="S90" s="54">
        <v>46063</v>
      </c>
      <c r="T90" s="49" t="s">
        <v>32</v>
      </c>
      <c r="U90" s="53">
        <v>4940</v>
      </c>
      <c r="V90" s="54">
        <v>46042</v>
      </c>
      <c r="W90" s="49" t="s">
        <v>32</v>
      </c>
      <c r="X90" s="56">
        <v>3420</v>
      </c>
      <c r="Y90" s="49" t="s">
        <v>32</v>
      </c>
      <c r="Z90" s="53"/>
      <c r="AA90" s="172" t="s">
        <v>257</v>
      </c>
      <c r="AB90" s="5"/>
      <c r="AC90" s="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</row>
    <row r="91" spans="1:1006" x14ac:dyDescent="0.25">
      <c r="A91" s="171" t="s">
        <v>258</v>
      </c>
      <c r="B91" s="55" t="s">
        <v>412</v>
      </c>
      <c r="C91" s="123" t="s">
        <v>613</v>
      </c>
      <c r="D91" s="81" t="s">
        <v>413</v>
      </c>
      <c r="E91" s="49" t="s">
        <v>38</v>
      </c>
      <c r="F91" s="49" t="s">
        <v>34</v>
      </c>
      <c r="G91" s="70" t="s">
        <v>34</v>
      </c>
      <c r="H91" s="49" t="s">
        <v>404</v>
      </c>
      <c r="I91" s="52">
        <v>1565602038215</v>
      </c>
      <c r="J91" s="53">
        <f>1599+10</f>
        <v>1609</v>
      </c>
      <c r="K91" s="54">
        <v>46026</v>
      </c>
      <c r="L91" s="49" t="s">
        <v>32</v>
      </c>
      <c r="M91" s="55"/>
      <c r="N91" s="53">
        <v>714.91</v>
      </c>
      <c r="O91" s="54">
        <v>46052</v>
      </c>
      <c r="P91" s="49" t="s">
        <v>32</v>
      </c>
      <c r="Q91" s="55" t="s">
        <v>414</v>
      </c>
      <c r="R91" s="53">
        <v>2092.11</v>
      </c>
      <c r="S91" s="54">
        <v>46068</v>
      </c>
      <c r="T91" s="49" t="s">
        <v>32</v>
      </c>
      <c r="U91" s="53">
        <v>2435.16</v>
      </c>
      <c r="V91" s="54">
        <v>46053</v>
      </c>
      <c r="W91" s="49" t="s">
        <v>32</v>
      </c>
      <c r="X91" s="56"/>
      <c r="Y91" s="49" t="s">
        <v>34</v>
      </c>
      <c r="Z91" s="53"/>
      <c r="AA91" s="172"/>
      <c r="AB91" s="5"/>
      <c r="AC91" s="5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</row>
    <row r="92" spans="1:1006" x14ac:dyDescent="0.25">
      <c r="A92" s="171" t="s">
        <v>258</v>
      </c>
      <c r="B92" s="55" t="s">
        <v>390</v>
      </c>
      <c r="C92" s="123" t="s">
        <v>611</v>
      </c>
      <c r="D92" s="81" t="s">
        <v>391</v>
      </c>
      <c r="E92" s="49" t="s">
        <v>38</v>
      </c>
      <c r="F92" s="67" t="s">
        <v>34</v>
      </c>
      <c r="G92" s="68" t="s">
        <v>34</v>
      </c>
      <c r="H92" s="49" t="s">
        <v>404</v>
      </c>
      <c r="I92" s="52">
        <v>1680001284388</v>
      </c>
      <c r="J92" s="53">
        <v>1635</v>
      </c>
      <c r="K92" s="54">
        <v>46042</v>
      </c>
      <c r="L92" s="49" t="s">
        <v>32</v>
      </c>
      <c r="M92" s="55"/>
      <c r="N92" s="53">
        <v>817.04</v>
      </c>
      <c r="O92" s="54">
        <v>46052</v>
      </c>
      <c r="P92" s="49" t="s">
        <v>32</v>
      </c>
      <c r="Q92" s="55" t="s">
        <v>392</v>
      </c>
      <c r="R92" s="53">
        <v>2104.75</v>
      </c>
      <c r="S92" s="54">
        <v>46065</v>
      </c>
      <c r="T92" s="49" t="s">
        <v>32</v>
      </c>
      <c r="U92" s="53">
        <v>2084.04</v>
      </c>
      <c r="V92" s="54">
        <v>46053</v>
      </c>
      <c r="W92" s="49" t="s">
        <v>32</v>
      </c>
      <c r="X92" s="56" t="s">
        <v>34</v>
      </c>
      <c r="Y92" s="49" t="s">
        <v>34</v>
      </c>
      <c r="Z92" s="53"/>
      <c r="AA92" s="172" t="s">
        <v>35</v>
      </c>
      <c r="AB92" s="5"/>
      <c r="AC92" s="5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</row>
    <row r="93" spans="1:1006" x14ac:dyDescent="0.25">
      <c r="A93" s="171" t="s">
        <v>258</v>
      </c>
      <c r="B93" s="55" t="s">
        <v>259</v>
      </c>
      <c r="C93" s="123" t="s">
        <v>612</v>
      </c>
      <c r="D93" s="81" t="s">
        <v>260</v>
      </c>
      <c r="E93" s="49" t="s">
        <v>38</v>
      </c>
      <c r="F93" s="49" t="s">
        <v>34</v>
      </c>
      <c r="G93" s="57" t="s">
        <v>34</v>
      </c>
      <c r="H93" s="49" t="s">
        <v>404</v>
      </c>
      <c r="I93" s="52">
        <v>1680001359936</v>
      </c>
      <c r="J93" s="53">
        <f>1699+10</f>
        <v>1709</v>
      </c>
      <c r="K93" s="54">
        <v>46042</v>
      </c>
      <c r="L93" s="49" t="s">
        <v>32</v>
      </c>
      <c r="M93" s="55"/>
      <c r="N93" s="53">
        <v>1021.3</v>
      </c>
      <c r="O93" s="54">
        <v>46052</v>
      </c>
      <c r="P93" s="49" t="s">
        <v>32</v>
      </c>
      <c r="Q93" s="55" t="s">
        <v>261</v>
      </c>
      <c r="R93" s="53">
        <v>1535.74</v>
      </c>
      <c r="S93" s="54">
        <v>46066</v>
      </c>
      <c r="T93" s="49" t="s">
        <v>32</v>
      </c>
      <c r="U93" s="53">
        <v>2084.04</v>
      </c>
      <c r="V93" s="54">
        <v>46053</v>
      </c>
      <c r="W93" s="49" t="s">
        <v>32</v>
      </c>
      <c r="X93" s="56" t="s">
        <v>34</v>
      </c>
      <c r="Y93" s="49" t="s">
        <v>34</v>
      </c>
      <c r="Z93" s="53"/>
      <c r="AA93" s="172" t="s">
        <v>35</v>
      </c>
      <c r="AB93" s="5"/>
      <c r="AC93" s="5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</row>
    <row r="94" spans="1:1006" x14ac:dyDescent="0.25">
      <c r="A94" s="171" t="s">
        <v>258</v>
      </c>
      <c r="B94" s="55" t="s">
        <v>262</v>
      </c>
      <c r="C94" s="123" t="s">
        <v>615</v>
      </c>
      <c r="D94" s="81" t="s">
        <v>263</v>
      </c>
      <c r="E94" s="49" t="s">
        <v>38</v>
      </c>
      <c r="F94" s="49" t="s">
        <v>34</v>
      </c>
      <c r="G94" s="57" t="s">
        <v>34</v>
      </c>
      <c r="H94" s="49" t="s">
        <v>404</v>
      </c>
      <c r="I94" s="52">
        <v>1565602030059</v>
      </c>
      <c r="J94" s="53">
        <f>1699+10</f>
        <v>1709</v>
      </c>
      <c r="K94" s="54">
        <v>46042</v>
      </c>
      <c r="L94" s="49" t="s">
        <v>32</v>
      </c>
      <c r="M94" s="49"/>
      <c r="N94" s="53">
        <v>408.52</v>
      </c>
      <c r="O94" s="54">
        <v>46052</v>
      </c>
      <c r="P94" s="49" t="s">
        <v>32</v>
      </c>
      <c r="Q94" s="55" t="s">
        <v>264</v>
      </c>
      <c r="R94" s="53">
        <v>1712.77</v>
      </c>
      <c r="S94" s="54">
        <v>46065</v>
      </c>
      <c r="T94" s="49" t="s">
        <v>32</v>
      </c>
      <c r="U94" s="53">
        <v>2084.04</v>
      </c>
      <c r="V94" s="54">
        <v>46053</v>
      </c>
      <c r="W94" s="49" t="s">
        <v>32</v>
      </c>
      <c r="X94" s="56" t="s">
        <v>34</v>
      </c>
      <c r="Y94" s="49" t="s">
        <v>34</v>
      </c>
      <c r="Z94" s="53"/>
      <c r="AA94" s="172" t="s">
        <v>35</v>
      </c>
      <c r="AB94" s="5"/>
      <c r="AC94" s="5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  <c r="AJG94" s="4"/>
      <c r="AJH94" s="4"/>
      <c r="AJI94" s="4"/>
      <c r="AJJ94" s="4"/>
      <c r="AJK94" s="4"/>
      <c r="AJL94" s="4"/>
      <c r="AJM94" s="4"/>
      <c r="AJN94" s="4"/>
      <c r="AJO94" s="4"/>
      <c r="AJP94" s="4"/>
      <c r="AJQ94" s="4"/>
      <c r="AJR94" s="4"/>
      <c r="AJS94" s="4"/>
      <c r="AJT94" s="4"/>
      <c r="AJU94" s="4"/>
      <c r="AJV94" s="4"/>
      <c r="AJW94" s="4"/>
      <c r="AJX94" s="4"/>
      <c r="AJY94" s="4"/>
      <c r="AJZ94" s="4"/>
      <c r="AKA94" s="4"/>
      <c r="AKB94" s="4"/>
      <c r="AKC94" s="4"/>
      <c r="AKD94" s="4"/>
      <c r="AKE94" s="4"/>
      <c r="AKF94" s="4"/>
      <c r="AKG94" s="4"/>
      <c r="AKH94" s="4"/>
      <c r="AKI94" s="4"/>
      <c r="AKJ94" s="4"/>
      <c r="AKK94" s="4"/>
      <c r="AKL94" s="4"/>
      <c r="AKM94" s="4"/>
      <c r="AKN94" s="4"/>
      <c r="AKO94" s="4"/>
      <c r="AKP94" s="4"/>
      <c r="AKQ94" s="4"/>
      <c r="AKR94" s="4"/>
      <c r="AKS94" s="4"/>
      <c r="AKT94" s="4"/>
      <c r="AKU94" s="4"/>
      <c r="AKV94" s="4"/>
      <c r="AKW94" s="4"/>
      <c r="AKX94" s="4"/>
      <c r="AKY94" s="4"/>
      <c r="AKZ94" s="4"/>
      <c r="ALA94" s="4"/>
      <c r="ALB94" s="4"/>
      <c r="ALC94" s="4"/>
      <c r="ALD94" s="4"/>
      <c r="ALE94" s="4"/>
      <c r="ALF94" s="4"/>
      <c r="ALG94" s="4"/>
      <c r="ALH94" s="4"/>
      <c r="ALI94" s="4"/>
      <c r="ALJ94" s="4"/>
      <c r="ALK94" s="4"/>
      <c r="ALL94" s="4"/>
      <c r="ALM94" s="4"/>
      <c r="ALN94" s="4"/>
      <c r="ALO94" s="4"/>
      <c r="ALP94" s="4"/>
      <c r="ALQ94" s="4"/>
      <c r="ALR94" s="4"/>
    </row>
    <row r="95" spans="1:1006" x14ac:dyDescent="0.25">
      <c r="A95" s="171" t="s">
        <v>258</v>
      </c>
      <c r="B95" s="55" t="s">
        <v>265</v>
      </c>
      <c r="C95" s="123" t="s">
        <v>616</v>
      </c>
      <c r="D95" s="81" t="s">
        <v>266</v>
      </c>
      <c r="E95" s="49" t="s">
        <v>38</v>
      </c>
      <c r="F95" s="49" t="s">
        <v>34</v>
      </c>
      <c r="G95" s="57" t="s">
        <v>34</v>
      </c>
      <c r="H95" s="49" t="s">
        <v>404</v>
      </c>
      <c r="I95" s="52">
        <v>1565602031810</v>
      </c>
      <c r="J95" s="53">
        <f>1500+10</f>
        <v>1510</v>
      </c>
      <c r="K95" s="54">
        <v>46042</v>
      </c>
      <c r="L95" s="49" t="s">
        <v>32</v>
      </c>
      <c r="M95" s="55"/>
      <c r="N95" s="53">
        <v>817.04</v>
      </c>
      <c r="O95" s="54">
        <v>46052</v>
      </c>
      <c r="P95" s="49" t="s">
        <v>32</v>
      </c>
      <c r="Q95" s="55" t="s">
        <v>267</v>
      </c>
      <c r="R95" s="53">
        <v>1801.27</v>
      </c>
      <c r="S95" s="54">
        <v>46066</v>
      </c>
      <c r="T95" s="49" t="s">
        <v>32</v>
      </c>
      <c r="U95" s="53">
        <v>2084.04</v>
      </c>
      <c r="V95" s="54">
        <v>46053</v>
      </c>
      <c r="W95" s="49" t="s">
        <v>32</v>
      </c>
      <c r="X95" s="56" t="s">
        <v>34</v>
      </c>
      <c r="Y95" s="49" t="s">
        <v>34</v>
      </c>
      <c r="Z95" s="53"/>
      <c r="AA95" s="172" t="s">
        <v>35</v>
      </c>
      <c r="AB95" s="5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  <c r="AJG95" s="4"/>
      <c r="AJH95" s="4"/>
      <c r="AJI95" s="4"/>
      <c r="AJJ95" s="4"/>
      <c r="AJK95" s="4"/>
      <c r="AJL95" s="4"/>
      <c r="AJM95" s="4"/>
      <c r="AJN95" s="4"/>
      <c r="AJO95" s="4"/>
      <c r="AJP95" s="4"/>
      <c r="AJQ95" s="4"/>
      <c r="AJR95" s="4"/>
      <c r="AJS95" s="4"/>
      <c r="AJT95" s="4"/>
      <c r="AJU95" s="4"/>
      <c r="AJV95" s="4"/>
      <c r="AJW95" s="4"/>
      <c r="AJX95" s="4"/>
      <c r="AJY95" s="4"/>
      <c r="AJZ95" s="4"/>
      <c r="AKA95" s="4"/>
      <c r="AKB95" s="4"/>
      <c r="AKC95" s="4"/>
      <c r="AKD95" s="4"/>
      <c r="AKE95" s="4"/>
      <c r="AKF95" s="4"/>
      <c r="AKG95" s="4"/>
      <c r="AKH95" s="4"/>
      <c r="AKI95" s="4"/>
      <c r="AKJ95" s="4"/>
      <c r="AKK95" s="4"/>
      <c r="AKL95" s="4"/>
      <c r="AKM95" s="4"/>
      <c r="AKN95" s="4"/>
      <c r="AKO95" s="4"/>
      <c r="AKP95" s="4"/>
      <c r="AKQ95" s="4"/>
      <c r="AKR95" s="4"/>
      <c r="AKS95" s="4"/>
      <c r="AKT95" s="4"/>
      <c r="AKU95" s="4"/>
      <c r="AKV95" s="4"/>
      <c r="AKW95" s="4"/>
      <c r="AKX95" s="4"/>
      <c r="AKY95" s="4"/>
      <c r="AKZ95" s="4"/>
      <c r="ALA95" s="4"/>
      <c r="ALB95" s="4"/>
      <c r="ALC95" s="4"/>
      <c r="ALD95" s="4"/>
      <c r="ALE95" s="4"/>
      <c r="ALF95" s="4"/>
      <c r="ALG95" s="4"/>
      <c r="ALH95" s="4"/>
      <c r="ALI95" s="4"/>
      <c r="ALJ95" s="4"/>
      <c r="ALK95" s="4"/>
      <c r="ALL95" s="4"/>
      <c r="ALM95" s="4"/>
      <c r="ALN95" s="4"/>
      <c r="ALO95" s="4"/>
      <c r="ALP95" s="4"/>
      <c r="ALQ95" s="4"/>
      <c r="ALR95" s="4"/>
    </row>
    <row r="96" spans="1:1006" x14ac:dyDescent="0.25">
      <c r="A96" s="171" t="s">
        <v>258</v>
      </c>
      <c r="B96" s="55" t="s">
        <v>268</v>
      </c>
      <c r="C96" s="123" t="s">
        <v>617</v>
      </c>
      <c r="D96" s="81" t="s">
        <v>269</v>
      </c>
      <c r="E96" s="49" t="s">
        <v>38</v>
      </c>
      <c r="F96" s="49" t="s">
        <v>34</v>
      </c>
      <c r="G96" s="57" t="s">
        <v>34</v>
      </c>
      <c r="H96" s="49" t="s">
        <v>404</v>
      </c>
      <c r="I96" s="52">
        <v>1565602033402</v>
      </c>
      <c r="J96" s="76">
        <f>1625+10</f>
        <v>1635</v>
      </c>
      <c r="K96" s="54">
        <v>46042</v>
      </c>
      <c r="L96" s="49" t="s">
        <v>32</v>
      </c>
      <c r="M96" s="55"/>
      <c r="N96" s="53">
        <v>817.04</v>
      </c>
      <c r="O96" s="54">
        <v>46052</v>
      </c>
      <c r="P96" s="49" t="s">
        <v>32</v>
      </c>
      <c r="Q96" s="55" t="s">
        <v>270</v>
      </c>
      <c r="R96" s="53">
        <v>2142.71</v>
      </c>
      <c r="S96" s="54">
        <v>46066</v>
      </c>
      <c r="T96" s="49" t="s">
        <v>32</v>
      </c>
      <c r="U96" s="53">
        <v>2084.04</v>
      </c>
      <c r="V96" s="54">
        <v>46053</v>
      </c>
      <c r="W96" s="49" t="s">
        <v>32</v>
      </c>
      <c r="X96" s="56" t="s">
        <v>34</v>
      </c>
      <c r="Y96" s="49" t="s">
        <v>34</v>
      </c>
      <c r="Z96" s="76"/>
      <c r="AA96" s="172" t="s">
        <v>35</v>
      </c>
      <c r="AB96" s="5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</row>
    <row r="97" spans="1:1006" x14ac:dyDescent="0.25">
      <c r="A97" s="182" t="s">
        <v>258</v>
      </c>
      <c r="B97" s="120" t="s">
        <v>271</v>
      </c>
      <c r="C97" s="123" t="s">
        <v>618</v>
      </c>
      <c r="D97" s="81" t="s">
        <v>272</v>
      </c>
      <c r="E97" s="49" t="s">
        <v>38</v>
      </c>
      <c r="F97" s="49" t="s">
        <v>34</v>
      </c>
      <c r="G97" s="57" t="s">
        <v>34</v>
      </c>
      <c r="H97" s="49" t="s">
        <v>404</v>
      </c>
      <c r="I97" s="121">
        <v>1565602034623</v>
      </c>
      <c r="J97" s="53">
        <f>1500+10</f>
        <v>1510</v>
      </c>
      <c r="K97" s="122">
        <v>46042</v>
      </c>
      <c r="L97" s="49" t="s">
        <v>32</v>
      </c>
      <c r="M97" s="49"/>
      <c r="N97" s="53">
        <v>919.17</v>
      </c>
      <c r="O97" s="54">
        <v>46052</v>
      </c>
      <c r="P97" s="49" t="s">
        <v>32</v>
      </c>
      <c r="Q97" s="55" t="s">
        <v>273</v>
      </c>
      <c r="R97" s="53">
        <v>2256.52</v>
      </c>
      <c r="S97" s="54">
        <v>46066</v>
      </c>
      <c r="T97" s="49" t="s">
        <v>32</v>
      </c>
      <c r="U97" s="53">
        <v>2133.6</v>
      </c>
      <c r="V97" s="54">
        <v>46053</v>
      </c>
      <c r="W97" s="49" t="s">
        <v>32</v>
      </c>
      <c r="X97" s="56" t="s">
        <v>34</v>
      </c>
      <c r="Y97" s="49" t="s">
        <v>34</v>
      </c>
      <c r="Z97" s="53"/>
      <c r="AA97" s="172"/>
      <c r="AB97" s="5"/>
      <c r="AC97" s="5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  <c r="ADQ97" s="4"/>
      <c r="ADR97" s="4"/>
      <c r="ADS97" s="4"/>
      <c r="ADT97" s="4"/>
      <c r="ADU97" s="4"/>
      <c r="ADV97" s="4"/>
      <c r="ADW97" s="4"/>
      <c r="ADX97" s="4"/>
      <c r="ADY97" s="4"/>
      <c r="ADZ97" s="4"/>
      <c r="AEA97" s="4"/>
      <c r="AEB97" s="4"/>
      <c r="AEC97" s="4"/>
      <c r="AED97" s="4"/>
      <c r="AEE97" s="4"/>
      <c r="AEF97" s="4"/>
      <c r="AEG97" s="4"/>
      <c r="AEH97" s="4"/>
      <c r="AEI97" s="4"/>
      <c r="AEJ97" s="4"/>
      <c r="AEK97" s="4"/>
      <c r="AEL97" s="4"/>
      <c r="AEM97" s="4"/>
      <c r="AEN97" s="4"/>
      <c r="AEO97" s="4"/>
      <c r="AEP97" s="4"/>
      <c r="AEQ97" s="4"/>
      <c r="AER97" s="4"/>
      <c r="AES97" s="4"/>
      <c r="AET97" s="4"/>
      <c r="AEU97" s="4"/>
      <c r="AEV97" s="4"/>
      <c r="AEW97" s="4"/>
      <c r="AEX97" s="4"/>
      <c r="AEY97" s="4"/>
      <c r="AEZ97" s="4"/>
      <c r="AFA97" s="4"/>
      <c r="AFB97" s="4"/>
      <c r="AFC97" s="4"/>
      <c r="AFD97" s="4"/>
      <c r="AFE97" s="4"/>
      <c r="AFF97" s="4"/>
      <c r="AFG97" s="4"/>
      <c r="AFH97" s="4"/>
      <c r="AFI97" s="4"/>
      <c r="AFJ97" s="4"/>
      <c r="AFK97" s="4"/>
      <c r="AFL97" s="4"/>
      <c r="AFM97" s="4"/>
      <c r="AFN97" s="4"/>
      <c r="AFO97" s="4"/>
      <c r="AFP97" s="4"/>
      <c r="AFQ97" s="4"/>
      <c r="AFR97" s="4"/>
      <c r="AFS97" s="4"/>
      <c r="AFT97" s="4"/>
      <c r="AFU97" s="4"/>
      <c r="AFV97" s="4"/>
      <c r="AFW97" s="4"/>
      <c r="AFX97" s="4"/>
      <c r="AFY97" s="4"/>
      <c r="AFZ97" s="4"/>
      <c r="AGA97" s="4"/>
      <c r="AGB97" s="4"/>
      <c r="AGC97" s="4"/>
      <c r="AGD97" s="4"/>
      <c r="AGE97" s="4"/>
      <c r="AGF97" s="4"/>
      <c r="AGG97" s="4"/>
      <c r="AGH97" s="4"/>
      <c r="AGI97" s="4"/>
      <c r="AGJ97" s="4"/>
      <c r="AGK97" s="4"/>
      <c r="AGL97" s="4"/>
      <c r="AGM97" s="4"/>
      <c r="AGN97" s="4"/>
      <c r="AGO97" s="4"/>
      <c r="AGP97" s="4"/>
      <c r="AGQ97" s="4"/>
      <c r="AGR97" s="4"/>
      <c r="AGS97" s="4"/>
      <c r="AGT97" s="4"/>
      <c r="AGU97" s="4"/>
      <c r="AGV97" s="4"/>
      <c r="AGW97" s="4"/>
      <c r="AGX97" s="4"/>
      <c r="AGY97" s="4"/>
      <c r="AGZ97" s="4"/>
      <c r="AHA97" s="4"/>
      <c r="AHB97" s="4"/>
      <c r="AHC97" s="4"/>
      <c r="AHD97" s="4"/>
      <c r="AHE97" s="4"/>
      <c r="AHF97" s="4"/>
      <c r="AHG97" s="4"/>
      <c r="AHH97" s="4"/>
      <c r="AHI97" s="4"/>
      <c r="AHJ97" s="4"/>
      <c r="AHK97" s="4"/>
      <c r="AHL97" s="4"/>
      <c r="AHM97" s="4"/>
      <c r="AHN97" s="4"/>
      <c r="AHO97" s="4"/>
      <c r="AHP97" s="4"/>
      <c r="AHQ97" s="4"/>
      <c r="AHR97" s="4"/>
      <c r="AHS97" s="4"/>
      <c r="AHT97" s="4"/>
      <c r="AHU97" s="4"/>
      <c r="AHV97" s="4"/>
      <c r="AHW97" s="4"/>
      <c r="AHX97" s="4"/>
      <c r="AHY97" s="4"/>
      <c r="AHZ97" s="4"/>
      <c r="AIA97" s="4"/>
      <c r="AIB97" s="4"/>
      <c r="AIC97" s="4"/>
      <c r="AID97" s="4"/>
      <c r="AIE97" s="4"/>
      <c r="AIF97" s="4"/>
      <c r="AIG97" s="4"/>
      <c r="AIH97" s="4"/>
      <c r="AII97" s="4"/>
      <c r="AIJ97" s="4"/>
      <c r="AIK97" s="4"/>
      <c r="AIL97" s="4"/>
      <c r="AIM97" s="4"/>
      <c r="AIN97" s="4"/>
      <c r="AIO97" s="4"/>
      <c r="AIP97" s="4"/>
      <c r="AIQ97" s="4"/>
      <c r="AIR97" s="4"/>
      <c r="AIS97" s="4"/>
      <c r="AIT97" s="4"/>
      <c r="AIU97" s="4"/>
      <c r="AIV97" s="4"/>
      <c r="AIW97" s="4"/>
      <c r="AIX97" s="4"/>
      <c r="AIY97" s="4"/>
      <c r="AIZ97" s="4"/>
      <c r="AJA97" s="4"/>
      <c r="AJB97" s="4"/>
      <c r="AJC97" s="4"/>
      <c r="AJD97" s="4"/>
      <c r="AJE97" s="4"/>
      <c r="AJF97" s="4"/>
      <c r="AJG97" s="4"/>
      <c r="AJH97" s="4"/>
      <c r="AJI97" s="4"/>
      <c r="AJJ97" s="4"/>
      <c r="AJK97" s="4"/>
      <c r="AJL97" s="4"/>
      <c r="AJM97" s="4"/>
      <c r="AJN97" s="4"/>
      <c r="AJO97" s="4"/>
      <c r="AJP97" s="4"/>
      <c r="AJQ97" s="4"/>
      <c r="AJR97" s="4"/>
      <c r="AJS97" s="4"/>
      <c r="AJT97" s="4"/>
      <c r="AJU97" s="4"/>
      <c r="AJV97" s="4"/>
      <c r="AJW97" s="4"/>
      <c r="AJX97" s="4"/>
      <c r="AJY97" s="4"/>
      <c r="AJZ97" s="4"/>
      <c r="AKA97" s="4"/>
      <c r="AKB97" s="4"/>
      <c r="AKC97" s="4"/>
      <c r="AKD97" s="4"/>
      <c r="AKE97" s="4"/>
      <c r="AKF97" s="4"/>
      <c r="AKG97" s="4"/>
      <c r="AKH97" s="4"/>
      <c r="AKI97" s="4"/>
      <c r="AKJ97" s="4"/>
      <c r="AKK97" s="4"/>
      <c r="AKL97" s="4"/>
      <c r="AKM97" s="4"/>
      <c r="AKN97" s="4"/>
      <c r="AKO97" s="4"/>
      <c r="AKP97" s="4"/>
      <c r="AKQ97" s="4"/>
      <c r="AKR97" s="4"/>
      <c r="AKS97" s="4"/>
      <c r="AKT97" s="4"/>
      <c r="AKU97" s="4"/>
      <c r="AKV97" s="4"/>
      <c r="AKW97" s="4"/>
      <c r="AKX97" s="4"/>
      <c r="AKY97" s="4"/>
      <c r="AKZ97" s="4"/>
      <c r="ALA97" s="4"/>
      <c r="ALB97" s="4"/>
      <c r="ALC97" s="4"/>
      <c r="ALD97" s="4"/>
      <c r="ALE97" s="4"/>
      <c r="ALF97" s="4"/>
      <c r="ALG97" s="4"/>
      <c r="ALH97" s="4"/>
      <c r="ALI97" s="4"/>
      <c r="ALJ97" s="4"/>
      <c r="ALK97" s="4"/>
      <c r="ALL97" s="4"/>
      <c r="ALM97" s="4"/>
      <c r="ALN97" s="4"/>
      <c r="ALO97" s="4"/>
      <c r="ALP97" s="4"/>
      <c r="ALQ97" s="4"/>
      <c r="ALR97" s="4"/>
    </row>
    <row r="98" spans="1:1006" x14ac:dyDescent="0.25">
      <c r="A98" s="171" t="s">
        <v>258</v>
      </c>
      <c r="B98" s="55" t="s">
        <v>274</v>
      </c>
      <c r="C98" s="123" t="s">
        <v>619</v>
      </c>
      <c r="D98" s="81" t="s">
        <v>275</v>
      </c>
      <c r="E98" s="49" t="s">
        <v>38</v>
      </c>
      <c r="F98" s="49" t="s">
        <v>34</v>
      </c>
      <c r="G98" s="57" t="s">
        <v>34</v>
      </c>
      <c r="H98" s="49" t="s">
        <v>276</v>
      </c>
      <c r="I98" s="52" t="s">
        <v>277</v>
      </c>
      <c r="J98" s="53">
        <f>1299+3</f>
        <v>1302</v>
      </c>
      <c r="K98" s="54">
        <v>46034</v>
      </c>
      <c r="L98" s="49" t="s">
        <v>32</v>
      </c>
      <c r="M98" s="55"/>
      <c r="N98" s="53">
        <v>817.04</v>
      </c>
      <c r="O98" s="54">
        <v>46052</v>
      </c>
      <c r="P98" s="49" t="s">
        <v>32</v>
      </c>
      <c r="Q98" s="55" t="s">
        <v>278</v>
      </c>
      <c r="R98" s="53">
        <v>2800.25</v>
      </c>
      <c r="S98" s="54">
        <v>46066</v>
      </c>
      <c r="T98" s="49" t="s">
        <v>32</v>
      </c>
      <c r="U98" s="53">
        <v>2084.04</v>
      </c>
      <c r="V98" s="54">
        <v>46053</v>
      </c>
      <c r="W98" s="49" t="s">
        <v>32</v>
      </c>
      <c r="X98" s="56" t="s">
        <v>34</v>
      </c>
      <c r="Y98" s="49" t="s">
        <v>34</v>
      </c>
      <c r="Z98" s="53"/>
      <c r="AA98" s="172" t="s">
        <v>35</v>
      </c>
      <c r="AB98" s="5"/>
      <c r="AC98" s="5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  <c r="ADQ98" s="4"/>
      <c r="ADR98" s="4"/>
      <c r="ADS98" s="4"/>
      <c r="ADT98" s="4"/>
      <c r="ADU98" s="4"/>
      <c r="ADV98" s="4"/>
      <c r="ADW98" s="4"/>
      <c r="ADX98" s="4"/>
      <c r="ADY98" s="4"/>
      <c r="ADZ98" s="4"/>
      <c r="AEA98" s="4"/>
      <c r="AEB98" s="4"/>
      <c r="AEC98" s="4"/>
      <c r="AED98" s="4"/>
      <c r="AEE98" s="4"/>
      <c r="AEF98" s="4"/>
      <c r="AEG98" s="4"/>
      <c r="AEH98" s="4"/>
      <c r="AEI98" s="4"/>
      <c r="AEJ98" s="4"/>
      <c r="AEK98" s="4"/>
      <c r="AEL98" s="4"/>
      <c r="AEM98" s="4"/>
      <c r="AEN98" s="4"/>
      <c r="AEO98" s="4"/>
      <c r="AEP98" s="4"/>
      <c r="AEQ98" s="4"/>
      <c r="AER98" s="4"/>
      <c r="AES98" s="4"/>
      <c r="AET98" s="4"/>
      <c r="AEU98" s="4"/>
      <c r="AEV98" s="4"/>
      <c r="AEW98" s="4"/>
      <c r="AEX98" s="4"/>
      <c r="AEY98" s="4"/>
      <c r="AEZ98" s="4"/>
      <c r="AFA98" s="4"/>
      <c r="AFB98" s="4"/>
      <c r="AFC98" s="4"/>
      <c r="AFD98" s="4"/>
      <c r="AFE98" s="4"/>
      <c r="AFF98" s="4"/>
      <c r="AFG98" s="4"/>
      <c r="AFH98" s="4"/>
      <c r="AFI98" s="4"/>
      <c r="AFJ98" s="4"/>
      <c r="AFK98" s="4"/>
      <c r="AFL98" s="4"/>
      <c r="AFM98" s="4"/>
      <c r="AFN98" s="4"/>
      <c r="AFO98" s="4"/>
      <c r="AFP98" s="4"/>
      <c r="AFQ98" s="4"/>
      <c r="AFR98" s="4"/>
      <c r="AFS98" s="4"/>
      <c r="AFT98" s="4"/>
      <c r="AFU98" s="4"/>
      <c r="AFV98" s="4"/>
      <c r="AFW98" s="4"/>
      <c r="AFX98" s="4"/>
      <c r="AFY98" s="4"/>
      <c r="AFZ98" s="4"/>
      <c r="AGA98" s="4"/>
      <c r="AGB98" s="4"/>
      <c r="AGC98" s="4"/>
      <c r="AGD98" s="4"/>
      <c r="AGE98" s="4"/>
      <c r="AGF98" s="4"/>
      <c r="AGG98" s="4"/>
      <c r="AGH98" s="4"/>
      <c r="AGI98" s="4"/>
      <c r="AGJ98" s="4"/>
      <c r="AGK98" s="4"/>
      <c r="AGL98" s="4"/>
      <c r="AGM98" s="4"/>
      <c r="AGN98" s="4"/>
      <c r="AGO98" s="4"/>
      <c r="AGP98" s="4"/>
      <c r="AGQ98" s="4"/>
      <c r="AGR98" s="4"/>
      <c r="AGS98" s="4"/>
      <c r="AGT98" s="4"/>
      <c r="AGU98" s="4"/>
      <c r="AGV98" s="4"/>
      <c r="AGW98" s="4"/>
      <c r="AGX98" s="4"/>
      <c r="AGY98" s="4"/>
      <c r="AGZ98" s="4"/>
      <c r="AHA98" s="4"/>
      <c r="AHB98" s="4"/>
      <c r="AHC98" s="4"/>
      <c r="AHD98" s="4"/>
      <c r="AHE98" s="4"/>
      <c r="AHF98" s="4"/>
      <c r="AHG98" s="4"/>
      <c r="AHH98" s="4"/>
      <c r="AHI98" s="4"/>
      <c r="AHJ98" s="4"/>
      <c r="AHK98" s="4"/>
      <c r="AHL98" s="4"/>
      <c r="AHM98" s="4"/>
      <c r="AHN98" s="4"/>
      <c r="AHO98" s="4"/>
      <c r="AHP98" s="4"/>
      <c r="AHQ98" s="4"/>
      <c r="AHR98" s="4"/>
      <c r="AHS98" s="4"/>
      <c r="AHT98" s="4"/>
      <c r="AHU98" s="4"/>
      <c r="AHV98" s="4"/>
      <c r="AHW98" s="4"/>
      <c r="AHX98" s="4"/>
      <c r="AHY98" s="4"/>
      <c r="AHZ98" s="4"/>
      <c r="AIA98" s="4"/>
      <c r="AIB98" s="4"/>
      <c r="AIC98" s="4"/>
      <c r="AID98" s="4"/>
      <c r="AIE98" s="4"/>
      <c r="AIF98" s="4"/>
      <c r="AIG98" s="4"/>
      <c r="AIH98" s="4"/>
      <c r="AII98" s="4"/>
      <c r="AIJ98" s="4"/>
      <c r="AIK98" s="4"/>
      <c r="AIL98" s="4"/>
      <c r="AIM98" s="4"/>
      <c r="AIN98" s="4"/>
      <c r="AIO98" s="4"/>
      <c r="AIP98" s="4"/>
      <c r="AIQ98" s="4"/>
      <c r="AIR98" s="4"/>
      <c r="AIS98" s="4"/>
      <c r="AIT98" s="4"/>
      <c r="AIU98" s="4"/>
      <c r="AIV98" s="4"/>
      <c r="AIW98" s="4"/>
      <c r="AIX98" s="4"/>
      <c r="AIY98" s="4"/>
      <c r="AIZ98" s="4"/>
      <c r="AJA98" s="4"/>
      <c r="AJB98" s="4"/>
      <c r="AJC98" s="4"/>
      <c r="AJD98" s="4"/>
      <c r="AJE98" s="4"/>
      <c r="AJF98" s="4"/>
      <c r="AJG98" s="4"/>
      <c r="AJH98" s="4"/>
      <c r="AJI98" s="4"/>
      <c r="AJJ98" s="4"/>
      <c r="AJK98" s="4"/>
      <c r="AJL98" s="4"/>
      <c r="AJM98" s="4"/>
      <c r="AJN98" s="4"/>
      <c r="AJO98" s="4"/>
      <c r="AJP98" s="4"/>
      <c r="AJQ98" s="4"/>
      <c r="AJR98" s="4"/>
      <c r="AJS98" s="4"/>
      <c r="AJT98" s="4"/>
      <c r="AJU98" s="4"/>
      <c r="AJV98" s="4"/>
      <c r="AJW98" s="4"/>
      <c r="AJX98" s="4"/>
      <c r="AJY98" s="4"/>
      <c r="AJZ98" s="4"/>
      <c r="AKA98" s="4"/>
      <c r="AKB98" s="4"/>
      <c r="AKC98" s="4"/>
      <c r="AKD98" s="4"/>
      <c r="AKE98" s="4"/>
      <c r="AKF98" s="4"/>
      <c r="AKG98" s="4"/>
      <c r="AKH98" s="4"/>
      <c r="AKI98" s="4"/>
      <c r="AKJ98" s="4"/>
      <c r="AKK98" s="4"/>
      <c r="AKL98" s="4"/>
      <c r="AKM98" s="4"/>
      <c r="AKN98" s="4"/>
      <c r="AKO98" s="4"/>
      <c r="AKP98" s="4"/>
      <c r="AKQ98" s="4"/>
      <c r="AKR98" s="4"/>
      <c r="AKS98" s="4"/>
      <c r="AKT98" s="4"/>
      <c r="AKU98" s="4"/>
      <c r="AKV98" s="4"/>
      <c r="AKW98" s="4"/>
      <c r="AKX98" s="4"/>
      <c r="AKY98" s="4"/>
      <c r="AKZ98" s="4"/>
      <c r="ALA98" s="4"/>
      <c r="ALB98" s="4"/>
      <c r="ALC98" s="4"/>
      <c r="ALD98" s="4"/>
      <c r="ALE98" s="4"/>
      <c r="ALF98" s="4"/>
      <c r="ALG98" s="4"/>
      <c r="ALH98" s="4"/>
      <c r="ALI98" s="4"/>
      <c r="ALJ98" s="4"/>
      <c r="ALK98" s="4"/>
      <c r="ALL98" s="4"/>
      <c r="ALM98" s="4"/>
      <c r="ALN98" s="4"/>
      <c r="ALO98" s="4"/>
      <c r="ALP98" s="4"/>
      <c r="ALQ98" s="4"/>
      <c r="ALR98" s="4"/>
    </row>
    <row r="99" spans="1:1006" x14ac:dyDescent="0.25">
      <c r="A99" s="171" t="s">
        <v>258</v>
      </c>
      <c r="B99" s="55" t="s">
        <v>279</v>
      </c>
      <c r="C99" s="123" t="s">
        <v>620</v>
      </c>
      <c r="D99" s="81" t="s">
        <v>280</v>
      </c>
      <c r="E99" s="49" t="s">
        <v>38</v>
      </c>
      <c r="F99" s="49" t="s">
        <v>34</v>
      </c>
      <c r="G99" s="57" t="s">
        <v>34</v>
      </c>
      <c r="H99" s="49" t="s">
        <v>404</v>
      </c>
      <c r="I99" s="52">
        <v>1565602037300</v>
      </c>
      <c r="J99" s="53">
        <f>1500+10</f>
        <v>1510</v>
      </c>
      <c r="K99" s="54">
        <v>46042</v>
      </c>
      <c r="L99" s="49" t="s">
        <v>32</v>
      </c>
      <c r="M99" s="55"/>
      <c r="N99" s="53">
        <v>2246.86</v>
      </c>
      <c r="O99" s="54">
        <v>46052</v>
      </c>
      <c r="P99" s="49" t="s">
        <v>32</v>
      </c>
      <c r="Q99" s="55" t="s">
        <v>281</v>
      </c>
      <c r="R99" s="53">
        <v>3369.27</v>
      </c>
      <c r="S99" s="54">
        <v>46066</v>
      </c>
      <c r="T99" s="49" t="s">
        <v>32</v>
      </c>
      <c r="U99" s="53">
        <v>2617.44</v>
      </c>
      <c r="V99" s="54">
        <v>46053</v>
      </c>
      <c r="W99" s="49" t="s">
        <v>32</v>
      </c>
      <c r="X99" s="56" t="s">
        <v>34</v>
      </c>
      <c r="Y99" s="49" t="s">
        <v>34</v>
      </c>
      <c r="Z99" s="53"/>
      <c r="AA99" s="172" t="s">
        <v>35</v>
      </c>
      <c r="AB99" s="5"/>
      <c r="AC99" s="5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  <c r="AJG99" s="4"/>
      <c r="AJH99" s="4"/>
      <c r="AJI99" s="4"/>
      <c r="AJJ99" s="4"/>
      <c r="AJK99" s="4"/>
      <c r="AJL99" s="4"/>
      <c r="AJM99" s="4"/>
      <c r="AJN99" s="4"/>
      <c r="AJO99" s="4"/>
      <c r="AJP99" s="4"/>
      <c r="AJQ99" s="4"/>
      <c r="AJR99" s="4"/>
      <c r="AJS99" s="4"/>
      <c r="AJT99" s="4"/>
      <c r="AJU99" s="4"/>
      <c r="AJV99" s="4"/>
      <c r="AJW99" s="4"/>
      <c r="AJX99" s="4"/>
      <c r="AJY99" s="4"/>
      <c r="AJZ99" s="4"/>
      <c r="AKA99" s="4"/>
      <c r="AKB99" s="4"/>
      <c r="AKC99" s="4"/>
      <c r="AKD99" s="4"/>
      <c r="AKE99" s="4"/>
      <c r="AKF99" s="4"/>
      <c r="AKG99" s="4"/>
      <c r="AKH99" s="4"/>
      <c r="AKI99" s="4"/>
      <c r="AKJ99" s="4"/>
      <c r="AKK99" s="4"/>
      <c r="AKL99" s="4"/>
      <c r="AKM99" s="4"/>
      <c r="AKN99" s="4"/>
      <c r="AKO99" s="4"/>
      <c r="AKP99" s="4"/>
      <c r="AKQ99" s="4"/>
      <c r="AKR99" s="4"/>
      <c r="AKS99" s="4"/>
      <c r="AKT99" s="4"/>
      <c r="AKU99" s="4"/>
      <c r="AKV99" s="4"/>
      <c r="AKW99" s="4"/>
      <c r="AKX99" s="4"/>
      <c r="AKY99" s="4"/>
      <c r="AKZ99" s="4"/>
      <c r="ALA99" s="4"/>
      <c r="ALB99" s="4"/>
      <c r="ALC99" s="4"/>
      <c r="ALD99" s="4"/>
      <c r="ALE99" s="4"/>
      <c r="ALF99" s="4"/>
      <c r="ALG99" s="4"/>
      <c r="ALH99" s="4"/>
      <c r="ALI99" s="4"/>
      <c r="ALJ99" s="4"/>
      <c r="ALK99" s="4"/>
      <c r="ALL99" s="4"/>
      <c r="ALM99" s="4"/>
      <c r="ALN99" s="4"/>
      <c r="ALO99" s="4"/>
      <c r="ALP99" s="4"/>
      <c r="ALQ99" s="4"/>
      <c r="ALR99" s="4"/>
    </row>
    <row r="100" spans="1:1006" x14ac:dyDescent="0.25">
      <c r="A100" s="171" t="s">
        <v>258</v>
      </c>
      <c r="B100" s="55" t="s">
        <v>474</v>
      </c>
      <c r="C100" s="123" t="s">
        <v>614</v>
      </c>
      <c r="D100" s="81" t="s">
        <v>406</v>
      </c>
      <c r="E100" s="49" t="s">
        <v>38</v>
      </c>
      <c r="F100" s="49" t="s">
        <v>34</v>
      </c>
      <c r="G100" s="57" t="s">
        <v>34</v>
      </c>
      <c r="H100" s="49" t="s">
        <v>404</v>
      </c>
      <c r="I100" s="75">
        <v>1680001131514</v>
      </c>
      <c r="J100" s="83">
        <f>1625+10</f>
        <v>1635</v>
      </c>
      <c r="K100" s="54">
        <v>46042</v>
      </c>
      <c r="L100" s="49" t="s">
        <v>32</v>
      </c>
      <c r="M100" s="49"/>
      <c r="N100" s="53">
        <v>714.91</v>
      </c>
      <c r="O100" s="54">
        <v>46052</v>
      </c>
      <c r="P100" s="49" t="s">
        <v>32</v>
      </c>
      <c r="Q100" s="55" t="s">
        <v>430</v>
      </c>
      <c r="R100" s="53">
        <v>2294.44</v>
      </c>
      <c r="S100" s="54">
        <v>46066</v>
      </c>
      <c r="T100" s="49" t="s">
        <v>32</v>
      </c>
      <c r="U100" s="53">
        <v>2268.84</v>
      </c>
      <c r="V100" s="54">
        <v>46053</v>
      </c>
      <c r="W100" s="49" t="s">
        <v>32</v>
      </c>
      <c r="X100" s="56"/>
      <c r="Y100" s="49" t="s">
        <v>34</v>
      </c>
      <c r="Z100" s="53"/>
      <c r="AA100" s="172"/>
      <c r="AB100" s="5"/>
      <c r="AC100" s="5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  <c r="AJG100" s="4"/>
      <c r="AJH100" s="4"/>
      <c r="AJI100" s="4"/>
      <c r="AJJ100" s="4"/>
      <c r="AJK100" s="4"/>
      <c r="AJL100" s="4"/>
      <c r="AJM100" s="4"/>
      <c r="AJN100" s="4"/>
      <c r="AJO100" s="4"/>
      <c r="AJP100" s="4"/>
      <c r="AJQ100" s="4"/>
      <c r="AJR100" s="4"/>
      <c r="AJS100" s="4"/>
      <c r="AJT100" s="4"/>
      <c r="AJU100" s="4"/>
      <c r="AJV100" s="4"/>
      <c r="AJW100" s="4"/>
      <c r="AJX100" s="4"/>
      <c r="AJY100" s="4"/>
      <c r="AJZ100" s="4"/>
      <c r="AKA100" s="4"/>
      <c r="AKB100" s="4"/>
      <c r="AKC100" s="4"/>
      <c r="AKD100" s="4"/>
      <c r="AKE100" s="4"/>
      <c r="AKF100" s="4"/>
      <c r="AKG100" s="4"/>
      <c r="AKH100" s="4"/>
      <c r="AKI100" s="4"/>
      <c r="AKJ100" s="4"/>
      <c r="AKK100" s="4"/>
      <c r="AKL100" s="4"/>
      <c r="AKM100" s="4"/>
      <c r="AKN100" s="4"/>
      <c r="AKO100" s="4"/>
      <c r="AKP100" s="4"/>
      <c r="AKQ100" s="4"/>
      <c r="AKR100" s="4"/>
      <c r="AKS100" s="4"/>
      <c r="AKT100" s="4"/>
      <c r="AKU100" s="4"/>
      <c r="AKV100" s="4"/>
      <c r="AKW100" s="4"/>
      <c r="AKX100" s="4"/>
      <c r="AKY100" s="4"/>
      <c r="AKZ100" s="4"/>
      <c r="ALA100" s="4"/>
      <c r="ALB100" s="4"/>
      <c r="ALC100" s="4"/>
      <c r="ALD100" s="4"/>
      <c r="ALE100" s="4"/>
      <c r="ALF100" s="4"/>
      <c r="ALG100" s="4"/>
      <c r="ALH100" s="4"/>
      <c r="ALI100" s="4"/>
      <c r="ALJ100" s="4"/>
      <c r="ALK100" s="4"/>
      <c r="ALL100" s="4"/>
      <c r="ALM100" s="4"/>
      <c r="ALN100" s="4"/>
      <c r="ALO100" s="4"/>
      <c r="ALP100" s="4"/>
      <c r="ALQ100" s="4"/>
      <c r="ALR100" s="4"/>
    </row>
    <row r="101" spans="1:1006" x14ac:dyDescent="0.25">
      <c r="A101" s="171" t="s">
        <v>282</v>
      </c>
      <c r="B101" s="77" t="s">
        <v>386</v>
      </c>
      <c r="C101" s="123" t="s">
        <v>649</v>
      </c>
      <c r="D101" s="81" t="s">
        <v>364</v>
      </c>
      <c r="E101" s="49" t="s">
        <v>38</v>
      </c>
      <c r="F101" s="49" t="s">
        <v>34</v>
      </c>
      <c r="G101" s="57" t="s">
        <v>34</v>
      </c>
      <c r="H101" s="49" t="s">
        <v>431</v>
      </c>
      <c r="I101" s="75"/>
      <c r="J101" s="83">
        <v>999</v>
      </c>
      <c r="K101" s="54">
        <v>46037</v>
      </c>
      <c r="L101" s="49" t="s">
        <v>32</v>
      </c>
      <c r="M101" s="49"/>
      <c r="N101" s="53">
        <v>480</v>
      </c>
      <c r="O101" s="54">
        <v>46052</v>
      </c>
      <c r="P101" s="49" t="s">
        <v>32</v>
      </c>
      <c r="Q101" s="55" t="s">
        <v>441</v>
      </c>
      <c r="R101" s="53">
        <v>2691.02</v>
      </c>
      <c r="S101" s="54">
        <v>46040</v>
      </c>
      <c r="T101" s="49" t="s">
        <v>32</v>
      </c>
      <c r="U101" s="53">
        <v>4140.1000000000004</v>
      </c>
      <c r="V101" s="54">
        <v>46053</v>
      </c>
      <c r="W101" s="49" t="s">
        <v>32</v>
      </c>
      <c r="X101" s="56"/>
      <c r="Y101" s="49" t="s">
        <v>34</v>
      </c>
      <c r="Z101" s="53"/>
      <c r="AA101" s="172"/>
      <c r="AB101" s="6"/>
      <c r="AC101" s="5"/>
      <c r="AD101" s="5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</row>
    <row r="102" spans="1:1006" x14ac:dyDescent="0.25">
      <c r="A102" s="171" t="s">
        <v>282</v>
      </c>
      <c r="B102" s="55" t="s">
        <v>384</v>
      </c>
      <c r="C102" s="123" t="s">
        <v>650</v>
      </c>
      <c r="D102" s="81" t="s">
        <v>293</v>
      </c>
      <c r="E102" s="49" t="s">
        <v>38</v>
      </c>
      <c r="F102" s="49" t="s">
        <v>34</v>
      </c>
      <c r="G102" s="57" t="s">
        <v>34</v>
      </c>
      <c r="H102" s="49" t="s">
        <v>431</v>
      </c>
      <c r="I102" s="75" t="s">
        <v>444</v>
      </c>
      <c r="J102" s="83">
        <v>999</v>
      </c>
      <c r="K102" s="54">
        <v>46037</v>
      </c>
      <c r="L102" s="49" t="s">
        <v>32</v>
      </c>
      <c r="M102" s="49"/>
      <c r="N102" s="53">
        <v>300</v>
      </c>
      <c r="O102" s="54">
        <v>46052</v>
      </c>
      <c r="P102" s="49" t="s">
        <v>32</v>
      </c>
      <c r="Q102" s="55" t="s">
        <v>442</v>
      </c>
      <c r="R102" s="53">
        <v>1580.64</v>
      </c>
      <c r="S102" s="54">
        <v>46038</v>
      </c>
      <c r="T102" s="49" t="s">
        <v>32</v>
      </c>
      <c r="U102" s="53">
        <v>2702.75</v>
      </c>
      <c r="V102" s="54">
        <v>46053</v>
      </c>
      <c r="W102" s="49" t="s">
        <v>32</v>
      </c>
      <c r="X102" s="56"/>
      <c r="Y102" s="49" t="s">
        <v>34</v>
      </c>
      <c r="Z102" s="53"/>
      <c r="AA102" s="172"/>
      <c r="AB102" s="6"/>
      <c r="AC102" s="5"/>
      <c r="AD102" s="5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  <c r="ZN102" s="4"/>
      <c r="ZO102" s="4"/>
      <c r="ZP102" s="4"/>
      <c r="ZQ102" s="4"/>
      <c r="ZR102" s="4"/>
      <c r="ZS102" s="4"/>
      <c r="ZT102" s="4"/>
      <c r="ZU102" s="4"/>
      <c r="ZV102" s="4"/>
      <c r="ZW102" s="4"/>
      <c r="ZX102" s="4"/>
      <c r="ZY102" s="4"/>
      <c r="ZZ102" s="4"/>
      <c r="AAA102" s="4"/>
      <c r="AAB102" s="4"/>
      <c r="AAC102" s="4"/>
      <c r="AAD102" s="4"/>
      <c r="AAE102" s="4"/>
      <c r="AAF102" s="4"/>
      <c r="AAG102" s="4"/>
      <c r="AAH102" s="4"/>
      <c r="AAI102" s="4"/>
      <c r="AAJ102" s="4"/>
      <c r="AAK102" s="4"/>
      <c r="AAL102" s="4"/>
      <c r="AAM102" s="4"/>
      <c r="AAN102" s="4"/>
      <c r="AAO102" s="4"/>
      <c r="AAP102" s="4"/>
      <c r="AAQ102" s="4"/>
      <c r="AAR102" s="4"/>
      <c r="AAS102" s="4"/>
      <c r="AAT102" s="4"/>
      <c r="AAU102" s="4"/>
      <c r="AAV102" s="4"/>
      <c r="AAW102" s="4"/>
      <c r="AAX102" s="4"/>
      <c r="AAY102" s="4"/>
      <c r="AAZ102" s="4"/>
      <c r="ABA102" s="4"/>
      <c r="ABB102" s="4"/>
      <c r="ABC102" s="4"/>
      <c r="ABD102" s="4"/>
      <c r="ABE102" s="4"/>
      <c r="ABF102" s="4"/>
      <c r="ABG102" s="4"/>
      <c r="ABH102" s="4"/>
      <c r="ABI102" s="4"/>
      <c r="ABJ102" s="4"/>
      <c r="ABK102" s="4"/>
      <c r="ABL102" s="4"/>
      <c r="ABM102" s="4"/>
      <c r="ABN102" s="4"/>
      <c r="ABO102" s="4"/>
      <c r="ABP102" s="4"/>
      <c r="ABQ102" s="4"/>
      <c r="ABR102" s="4"/>
      <c r="ABS102" s="4"/>
      <c r="ABT102" s="4"/>
      <c r="ABU102" s="4"/>
      <c r="ABV102" s="4"/>
      <c r="ABW102" s="4"/>
      <c r="ABX102" s="4"/>
      <c r="ABY102" s="4"/>
      <c r="ABZ102" s="4"/>
      <c r="ACA102" s="4"/>
      <c r="ACB102" s="4"/>
      <c r="ACC102" s="4"/>
      <c r="ACD102" s="4"/>
      <c r="ACE102" s="4"/>
      <c r="ACF102" s="4"/>
      <c r="ACG102" s="4"/>
      <c r="ACH102" s="4"/>
      <c r="ACI102" s="4"/>
      <c r="ACJ102" s="4"/>
      <c r="ACK102" s="4"/>
      <c r="ACL102" s="4"/>
      <c r="ACM102" s="4"/>
      <c r="ACN102" s="4"/>
      <c r="ACO102" s="4"/>
      <c r="ACP102" s="4"/>
      <c r="ACQ102" s="4"/>
      <c r="ACR102" s="4"/>
      <c r="ACS102" s="4"/>
      <c r="ACT102" s="4"/>
      <c r="ACU102" s="4"/>
      <c r="ACV102" s="4"/>
      <c r="ACW102" s="4"/>
      <c r="ACX102" s="4"/>
      <c r="ACY102" s="4"/>
      <c r="ACZ102" s="4"/>
      <c r="ADA102" s="4"/>
      <c r="ADB102" s="4"/>
      <c r="ADC102" s="4"/>
      <c r="ADD102" s="4"/>
      <c r="ADE102" s="4"/>
      <c r="ADF102" s="4"/>
      <c r="ADG102" s="4"/>
      <c r="ADH102" s="4"/>
      <c r="ADI102" s="4"/>
      <c r="ADJ102" s="4"/>
      <c r="ADK102" s="4"/>
      <c r="ADL102" s="4"/>
      <c r="ADM102" s="4"/>
      <c r="ADN102" s="4"/>
      <c r="ADO102" s="4"/>
      <c r="ADP102" s="4"/>
      <c r="ADQ102" s="4"/>
      <c r="ADR102" s="4"/>
      <c r="ADS102" s="4"/>
      <c r="ADT102" s="4"/>
      <c r="ADU102" s="4"/>
      <c r="ADV102" s="4"/>
      <c r="ADW102" s="4"/>
      <c r="ADX102" s="4"/>
      <c r="ADY102" s="4"/>
      <c r="ADZ102" s="4"/>
      <c r="AEA102" s="4"/>
      <c r="AEB102" s="4"/>
      <c r="AEC102" s="4"/>
      <c r="AED102" s="4"/>
      <c r="AEE102" s="4"/>
      <c r="AEF102" s="4"/>
      <c r="AEG102" s="4"/>
      <c r="AEH102" s="4"/>
      <c r="AEI102" s="4"/>
      <c r="AEJ102" s="4"/>
      <c r="AEK102" s="4"/>
      <c r="AEL102" s="4"/>
      <c r="AEM102" s="4"/>
      <c r="AEN102" s="4"/>
      <c r="AEO102" s="4"/>
      <c r="AEP102" s="4"/>
      <c r="AEQ102" s="4"/>
      <c r="AER102" s="4"/>
      <c r="AES102" s="4"/>
      <c r="AET102" s="4"/>
      <c r="AEU102" s="4"/>
      <c r="AEV102" s="4"/>
      <c r="AEW102" s="4"/>
      <c r="AEX102" s="4"/>
      <c r="AEY102" s="4"/>
      <c r="AEZ102" s="4"/>
      <c r="AFA102" s="4"/>
      <c r="AFB102" s="4"/>
      <c r="AFC102" s="4"/>
      <c r="AFD102" s="4"/>
      <c r="AFE102" s="4"/>
      <c r="AFF102" s="4"/>
      <c r="AFG102" s="4"/>
      <c r="AFH102" s="4"/>
      <c r="AFI102" s="4"/>
      <c r="AFJ102" s="4"/>
      <c r="AFK102" s="4"/>
      <c r="AFL102" s="4"/>
      <c r="AFM102" s="4"/>
      <c r="AFN102" s="4"/>
      <c r="AFO102" s="4"/>
      <c r="AFP102" s="4"/>
      <c r="AFQ102" s="4"/>
      <c r="AFR102" s="4"/>
      <c r="AFS102" s="4"/>
      <c r="AFT102" s="4"/>
      <c r="AFU102" s="4"/>
      <c r="AFV102" s="4"/>
      <c r="AFW102" s="4"/>
      <c r="AFX102" s="4"/>
      <c r="AFY102" s="4"/>
      <c r="AFZ102" s="4"/>
      <c r="AGA102" s="4"/>
      <c r="AGB102" s="4"/>
      <c r="AGC102" s="4"/>
      <c r="AGD102" s="4"/>
      <c r="AGE102" s="4"/>
      <c r="AGF102" s="4"/>
      <c r="AGG102" s="4"/>
      <c r="AGH102" s="4"/>
      <c r="AGI102" s="4"/>
      <c r="AGJ102" s="4"/>
      <c r="AGK102" s="4"/>
      <c r="AGL102" s="4"/>
      <c r="AGM102" s="4"/>
      <c r="AGN102" s="4"/>
      <c r="AGO102" s="4"/>
      <c r="AGP102" s="4"/>
      <c r="AGQ102" s="4"/>
      <c r="AGR102" s="4"/>
      <c r="AGS102" s="4"/>
      <c r="AGT102" s="4"/>
      <c r="AGU102" s="4"/>
      <c r="AGV102" s="4"/>
      <c r="AGW102" s="4"/>
      <c r="AGX102" s="4"/>
      <c r="AGY102" s="4"/>
      <c r="AGZ102" s="4"/>
      <c r="AHA102" s="4"/>
      <c r="AHB102" s="4"/>
      <c r="AHC102" s="4"/>
      <c r="AHD102" s="4"/>
      <c r="AHE102" s="4"/>
      <c r="AHF102" s="4"/>
      <c r="AHG102" s="4"/>
      <c r="AHH102" s="4"/>
      <c r="AHI102" s="4"/>
      <c r="AHJ102" s="4"/>
      <c r="AHK102" s="4"/>
      <c r="AHL102" s="4"/>
      <c r="AHM102" s="4"/>
      <c r="AHN102" s="4"/>
      <c r="AHO102" s="4"/>
      <c r="AHP102" s="4"/>
      <c r="AHQ102" s="4"/>
      <c r="AHR102" s="4"/>
      <c r="AHS102" s="4"/>
      <c r="AHT102" s="4"/>
      <c r="AHU102" s="4"/>
      <c r="AHV102" s="4"/>
      <c r="AHW102" s="4"/>
      <c r="AHX102" s="4"/>
      <c r="AHY102" s="4"/>
      <c r="AHZ102" s="4"/>
      <c r="AIA102" s="4"/>
      <c r="AIB102" s="4"/>
      <c r="AIC102" s="4"/>
      <c r="AID102" s="4"/>
      <c r="AIE102" s="4"/>
      <c r="AIF102" s="4"/>
      <c r="AIG102" s="4"/>
      <c r="AIH102" s="4"/>
      <c r="AII102" s="4"/>
      <c r="AIJ102" s="4"/>
      <c r="AIK102" s="4"/>
      <c r="AIL102" s="4"/>
      <c r="AIM102" s="4"/>
      <c r="AIN102" s="4"/>
      <c r="AIO102" s="4"/>
      <c r="AIP102" s="4"/>
      <c r="AIQ102" s="4"/>
      <c r="AIR102" s="4"/>
      <c r="AIS102" s="4"/>
      <c r="AIT102" s="4"/>
      <c r="AIU102" s="4"/>
      <c r="AIV102" s="4"/>
      <c r="AIW102" s="4"/>
      <c r="AIX102" s="4"/>
      <c r="AIY102" s="4"/>
      <c r="AIZ102" s="4"/>
      <c r="AJA102" s="4"/>
      <c r="AJB102" s="4"/>
      <c r="AJC102" s="4"/>
      <c r="AJD102" s="4"/>
      <c r="AJE102" s="4"/>
      <c r="AJF102" s="4"/>
      <c r="AJG102" s="4"/>
      <c r="AJH102" s="4"/>
      <c r="AJI102" s="4"/>
      <c r="AJJ102" s="4"/>
      <c r="AJK102" s="4"/>
      <c r="AJL102" s="4"/>
      <c r="AJM102" s="4"/>
      <c r="AJN102" s="4"/>
      <c r="AJO102" s="4"/>
      <c r="AJP102" s="4"/>
      <c r="AJQ102" s="4"/>
      <c r="AJR102" s="4"/>
      <c r="AJS102" s="4"/>
      <c r="AJT102" s="4"/>
      <c r="AJU102" s="4"/>
      <c r="AJV102" s="4"/>
      <c r="AJW102" s="4"/>
      <c r="AJX102" s="4"/>
      <c r="AJY102" s="4"/>
      <c r="AJZ102" s="4"/>
      <c r="AKA102" s="4"/>
      <c r="AKB102" s="4"/>
      <c r="AKC102" s="4"/>
      <c r="AKD102" s="4"/>
      <c r="AKE102" s="4"/>
      <c r="AKF102" s="4"/>
      <c r="AKG102" s="4"/>
      <c r="AKH102" s="4"/>
      <c r="AKI102" s="4"/>
      <c r="AKJ102" s="4"/>
      <c r="AKK102" s="4"/>
      <c r="AKL102" s="4"/>
      <c r="AKM102" s="4"/>
      <c r="AKN102" s="4"/>
      <c r="AKO102" s="4"/>
      <c r="AKP102" s="4"/>
      <c r="AKQ102" s="4"/>
      <c r="AKR102" s="4"/>
      <c r="AKS102" s="4"/>
      <c r="AKT102" s="4"/>
      <c r="AKU102" s="4"/>
      <c r="AKV102" s="4"/>
      <c r="AKW102" s="4"/>
      <c r="AKX102" s="4"/>
      <c r="AKY102" s="4"/>
      <c r="AKZ102" s="4"/>
      <c r="ALA102" s="4"/>
      <c r="ALB102" s="4"/>
      <c r="ALC102" s="4"/>
      <c r="ALD102" s="4"/>
      <c r="ALE102" s="4"/>
      <c r="ALF102" s="4"/>
      <c r="ALG102" s="4"/>
      <c r="ALH102" s="4"/>
      <c r="ALI102" s="4"/>
      <c r="ALJ102" s="4"/>
      <c r="ALK102" s="4"/>
      <c r="ALL102" s="4"/>
      <c r="ALM102" s="4"/>
      <c r="ALN102" s="4"/>
      <c r="ALO102" s="4"/>
      <c r="ALP102" s="4"/>
      <c r="ALQ102" s="4"/>
      <c r="ALR102" s="4"/>
    </row>
    <row r="103" spans="1:1006" x14ac:dyDescent="0.25">
      <c r="A103" s="171" t="s">
        <v>282</v>
      </c>
      <c r="B103" s="55" t="s">
        <v>385</v>
      </c>
      <c r="C103" s="123" t="s">
        <v>651</v>
      </c>
      <c r="D103" s="81" t="s">
        <v>293</v>
      </c>
      <c r="E103" s="49" t="s">
        <v>38</v>
      </c>
      <c r="F103" s="49" t="s">
        <v>34</v>
      </c>
      <c r="G103" s="57" t="s">
        <v>34</v>
      </c>
      <c r="H103" s="49" t="s">
        <v>431</v>
      </c>
      <c r="I103" s="52" t="s">
        <v>34</v>
      </c>
      <c r="J103" s="53">
        <v>999</v>
      </c>
      <c r="K103" s="54">
        <v>46037</v>
      </c>
      <c r="L103" s="49" t="s">
        <v>32</v>
      </c>
      <c r="M103" s="49"/>
      <c r="N103" s="53">
        <v>360</v>
      </c>
      <c r="O103" s="54">
        <v>46052</v>
      </c>
      <c r="P103" s="49" t="s">
        <v>32</v>
      </c>
      <c r="Q103" s="55" t="s">
        <v>440</v>
      </c>
      <c r="R103" s="53">
        <v>1659.95</v>
      </c>
      <c r="S103" s="54">
        <v>46038</v>
      </c>
      <c r="T103" s="49" t="s">
        <v>32</v>
      </c>
      <c r="U103" s="53">
        <v>2702.75</v>
      </c>
      <c r="V103" s="54">
        <v>46053</v>
      </c>
      <c r="W103" s="49" t="s">
        <v>32</v>
      </c>
      <c r="X103" s="56"/>
      <c r="Y103" s="49" t="s">
        <v>34</v>
      </c>
      <c r="Z103" s="53"/>
      <c r="AA103" s="172"/>
      <c r="AB103" s="6"/>
      <c r="AC103" s="5"/>
      <c r="AD103" s="5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  <c r="ZO103" s="4"/>
      <c r="ZP103" s="4"/>
      <c r="ZQ103" s="4"/>
      <c r="ZR103" s="4"/>
      <c r="ZS103" s="4"/>
      <c r="ZT103" s="4"/>
      <c r="ZU103" s="4"/>
      <c r="ZV103" s="4"/>
      <c r="ZW103" s="4"/>
      <c r="ZX103" s="4"/>
      <c r="ZY103" s="4"/>
      <c r="ZZ103" s="4"/>
      <c r="AAA103" s="4"/>
      <c r="AAB103" s="4"/>
      <c r="AAC103" s="4"/>
      <c r="AAD103" s="4"/>
      <c r="AAE103" s="4"/>
      <c r="AAF103" s="4"/>
      <c r="AAG103" s="4"/>
      <c r="AAH103" s="4"/>
      <c r="AAI103" s="4"/>
      <c r="AAJ103" s="4"/>
      <c r="AAK103" s="4"/>
      <c r="AAL103" s="4"/>
      <c r="AAM103" s="4"/>
      <c r="AAN103" s="4"/>
      <c r="AAO103" s="4"/>
      <c r="AAP103" s="4"/>
      <c r="AAQ103" s="4"/>
      <c r="AAR103" s="4"/>
      <c r="AAS103" s="4"/>
      <c r="AAT103" s="4"/>
      <c r="AAU103" s="4"/>
      <c r="AAV103" s="4"/>
      <c r="AAW103" s="4"/>
      <c r="AAX103" s="4"/>
      <c r="AAY103" s="4"/>
      <c r="AAZ103" s="4"/>
      <c r="ABA103" s="4"/>
      <c r="ABB103" s="4"/>
      <c r="ABC103" s="4"/>
      <c r="ABD103" s="4"/>
      <c r="ABE103" s="4"/>
      <c r="ABF103" s="4"/>
      <c r="ABG103" s="4"/>
      <c r="ABH103" s="4"/>
      <c r="ABI103" s="4"/>
      <c r="ABJ103" s="4"/>
      <c r="ABK103" s="4"/>
      <c r="ABL103" s="4"/>
      <c r="ABM103" s="4"/>
      <c r="ABN103" s="4"/>
      <c r="ABO103" s="4"/>
      <c r="ABP103" s="4"/>
      <c r="ABQ103" s="4"/>
      <c r="ABR103" s="4"/>
      <c r="ABS103" s="4"/>
      <c r="ABT103" s="4"/>
      <c r="ABU103" s="4"/>
      <c r="ABV103" s="4"/>
      <c r="ABW103" s="4"/>
      <c r="ABX103" s="4"/>
      <c r="ABY103" s="4"/>
      <c r="ABZ103" s="4"/>
      <c r="ACA103" s="4"/>
      <c r="ACB103" s="4"/>
      <c r="ACC103" s="4"/>
      <c r="ACD103" s="4"/>
      <c r="ACE103" s="4"/>
      <c r="ACF103" s="4"/>
      <c r="ACG103" s="4"/>
      <c r="ACH103" s="4"/>
      <c r="ACI103" s="4"/>
      <c r="ACJ103" s="4"/>
      <c r="ACK103" s="4"/>
      <c r="ACL103" s="4"/>
      <c r="ACM103" s="4"/>
      <c r="ACN103" s="4"/>
      <c r="ACO103" s="4"/>
      <c r="ACP103" s="4"/>
      <c r="ACQ103" s="4"/>
      <c r="ACR103" s="4"/>
      <c r="ACS103" s="4"/>
      <c r="ACT103" s="4"/>
      <c r="ACU103" s="4"/>
      <c r="ACV103" s="4"/>
      <c r="ACW103" s="4"/>
      <c r="ACX103" s="4"/>
      <c r="ACY103" s="4"/>
      <c r="ACZ103" s="4"/>
      <c r="ADA103" s="4"/>
      <c r="ADB103" s="4"/>
      <c r="ADC103" s="4"/>
      <c r="ADD103" s="4"/>
      <c r="ADE103" s="4"/>
      <c r="ADF103" s="4"/>
      <c r="ADG103" s="4"/>
      <c r="ADH103" s="4"/>
      <c r="ADI103" s="4"/>
      <c r="ADJ103" s="4"/>
      <c r="ADK103" s="4"/>
      <c r="ADL103" s="4"/>
      <c r="ADM103" s="4"/>
      <c r="ADN103" s="4"/>
      <c r="ADO103" s="4"/>
      <c r="ADP103" s="4"/>
      <c r="ADQ103" s="4"/>
      <c r="ADR103" s="4"/>
      <c r="ADS103" s="4"/>
      <c r="ADT103" s="4"/>
      <c r="ADU103" s="4"/>
      <c r="ADV103" s="4"/>
      <c r="ADW103" s="4"/>
      <c r="ADX103" s="4"/>
      <c r="ADY103" s="4"/>
      <c r="ADZ103" s="4"/>
      <c r="AEA103" s="4"/>
      <c r="AEB103" s="4"/>
      <c r="AEC103" s="4"/>
      <c r="AED103" s="4"/>
      <c r="AEE103" s="4"/>
      <c r="AEF103" s="4"/>
      <c r="AEG103" s="4"/>
      <c r="AEH103" s="4"/>
      <c r="AEI103" s="4"/>
      <c r="AEJ103" s="4"/>
      <c r="AEK103" s="4"/>
      <c r="AEL103" s="4"/>
      <c r="AEM103" s="4"/>
      <c r="AEN103" s="4"/>
      <c r="AEO103" s="4"/>
      <c r="AEP103" s="4"/>
      <c r="AEQ103" s="4"/>
      <c r="AER103" s="4"/>
      <c r="AES103" s="4"/>
      <c r="AET103" s="4"/>
      <c r="AEU103" s="4"/>
      <c r="AEV103" s="4"/>
      <c r="AEW103" s="4"/>
      <c r="AEX103" s="4"/>
      <c r="AEY103" s="4"/>
      <c r="AEZ103" s="4"/>
      <c r="AFA103" s="4"/>
      <c r="AFB103" s="4"/>
      <c r="AFC103" s="4"/>
      <c r="AFD103" s="4"/>
      <c r="AFE103" s="4"/>
      <c r="AFF103" s="4"/>
      <c r="AFG103" s="4"/>
      <c r="AFH103" s="4"/>
      <c r="AFI103" s="4"/>
      <c r="AFJ103" s="4"/>
      <c r="AFK103" s="4"/>
      <c r="AFL103" s="4"/>
      <c r="AFM103" s="4"/>
      <c r="AFN103" s="4"/>
      <c r="AFO103" s="4"/>
      <c r="AFP103" s="4"/>
      <c r="AFQ103" s="4"/>
      <c r="AFR103" s="4"/>
      <c r="AFS103" s="4"/>
      <c r="AFT103" s="4"/>
      <c r="AFU103" s="4"/>
      <c r="AFV103" s="4"/>
      <c r="AFW103" s="4"/>
      <c r="AFX103" s="4"/>
      <c r="AFY103" s="4"/>
      <c r="AFZ103" s="4"/>
      <c r="AGA103" s="4"/>
      <c r="AGB103" s="4"/>
      <c r="AGC103" s="4"/>
      <c r="AGD103" s="4"/>
      <c r="AGE103" s="4"/>
      <c r="AGF103" s="4"/>
      <c r="AGG103" s="4"/>
      <c r="AGH103" s="4"/>
      <c r="AGI103" s="4"/>
      <c r="AGJ103" s="4"/>
      <c r="AGK103" s="4"/>
      <c r="AGL103" s="4"/>
      <c r="AGM103" s="4"/>
      <c r="AGN103" s="4"/>
      <c r="AGO103" s="4"/>
      <c r="AGP103" s="4"/>
      <c r="AGQ103" s="4"/>
      <c r="AGR103" s="4"/>
      <c r="AGS103" s="4"/>
      <c r="AGT103" s="4"/>
      <c r="AGU103" s="4"/>
      <c r="AGV103" s="4"/>
      <c r="AGW103" s="4"/>
      <c r="AGX103" s="4"/>
      <c r="AGY103" s="4"/>
      <c r="AGZ103" s="4"/>
      <c r="AHA103" s="4"/>
      <c r="AHB103" s="4"/>
      <c r="AHC103" s="4"/>
      <c r="AHD103" s="4"/>
      <c r="AHE103" s="4"/>
      <c r="AHF103" s="4"/>
      <c r="AHG103" s="4"/>
      <c r="AHH103" s="4"/>
      <c r="AHI103" s="4"/>
      <c r="AHJ103" s="4"/>
      <c r="AHK103" s="4"/>
      <c r="AHL103" s="4"/>
      <c r="AHM103" s="4"/>
      <c r="AHN103" s="4"/>
      <c r="AHO103" s="4"/>
      <c r="AHP103" s="4"/>
      <c r="AHQ103" s="4"/>
      <c r="AHR103" s="4"/>
      <c r="AHS103" s="4"/>
      <c r="AHT103" s="4"/>
      <c r="AHU103" s="4"/>
      <c r="AHV103" s="4"/>
      <c r="AHW103" s="4"/>
      <c r="AHX103" s="4"/>
      <c r="AHY103" s="4"/>
      <c r="AHZ103" s="4"/>
      <c r="AIA103" s="4"/>
      <c r="AIB103" s="4"/>
      <c r="AIC103" s="4"/>
      <c r="AID103" s="4"/>
      <c r="AIE103" s="4"/>
      <c r="AIF103" s="4"/>
      <c r="AIG103" s="4"/>
      <c r="AIH103" s="4"/>
      <c r="AII103" s="4"/>
      <c r="AIJ103" s="4"/>
      <c r="AIK103" s="4"/>
      <c r="AIL103" s="4"/>
      <c r="AIM103" s="4"/>
      <c r="AIN103" s="4"/>
      <c r="AIO103" s="4"/>
      <c r="AIP103" s="4"/>
      <c r="AIQ103" s="4"/>
      <c r="AIR103" s="4"/>
      <c r="AIS103" s="4"/>
      <c r="AIT103" s="4"/>
      <c r="AIU103" s="4"/>
      <c r="AIV103" s="4"/>
      <c r="AIW103" s="4"/>
      <c r="AIX103" s="4"/>
      <c r="AIY103" s="4"/>
      <c r="AIZ103" s="4"/>
      <c r="AJA103" s="4"/>
      <c r="AJB103" s="4"/>
      <c r="AJC103" s="4"/>
      <c r="AJD103" s="4"/>
      <c r="AJE103" s="4"/>
      <c r="AJF103" s="4"/>
      <c r="AJG103" s="4"/>
      <c r="AJH103" s="4"/>
      <c r="AJI103" s="4"/>
      <c r="AJJ103" s="4"/>
      <c r="AJK103" s="4"/>
      <c r="AJL103" s="4"/>
      <c r="AJM103" s="4"/>
      <c r="AJN103" s="4"/>
      <c r="AJO103" s="4"/>
      <c r="AJP103" s="4"/>
      <c r="AJQ103" s="4"/>
      <c r="AJR103" s="4"/>
      <c r="AJS103" s="4"/>
      <c r="AJT103" s="4"/>
      <c r="AJU103" s="4"/>
      <c r="AJV103" s="4"/>
      <c r="AJW103" s="4"/>
      <c r="AJX103" s="4"/>
      <c r="AJY103" s="4"/>
      <c r="AJZ103" s="4"/>
      <c r="AKA103" s="4"/>
      <c r="AKB103" s="4"/>
      <c r="AKC103" s="4"/>
      <c r="AKD103" s="4"/>
      <c r="AKE103" s="4"/>
      <c r="AKF103" s="4"/>
      <c r="AKG103" s="4"/>
      <c r="AKH103" s="4"/>
      <c r="AKI103" s="4"/>
      <c r="AKJ103" s="4"/>
      <c r="AKK103" s="4"/>
      <c r="AKL103" s="4"/>
      <c r="AKM103" s="4"/>
      <c r="AKN103" s="4"/>
      <c r="AKO103" s="4"/>
      <c r="AKP103" s="4"/>
      <c r="AKQ103" s="4"/>
      <c r="AKR103" s="4"/>
      <c r="AKS103" s="4"/>
      <c r="AKT103" s="4"/>
      <c r="AKU103" s="4"/>
      <c r="AKV103" s="4"/>
      <c r="AKW103" s="4"/>
      <c r="AKX103" s="4"/>
      <c r="AKY103" s="4"/>
      <c r="AKZ103" s="4"/>
      <c r="ALA103" s="4"/>
      <c r="ALB103" s="4"/>
      <c r="ALC103" s="4"/>
      <c r="ALD103" s="4"/>
      <c r="ALE103" s="4"/>
      <c r="ALF103" s="4"/>
      <c r="ALG103" s="4"/>
      <c r="ALH103" s="4"/>
      <c r="ALI103" s="4"/>
      <c r="ALJ103" s="4"/>
      <c r="ALK103" s="4"/>
      <c r="ALL103" s="4"/>
      <c r="ALM103" s="4"/>
      <c r="ALN103" s="4"/>
      <c r="ALO103" s="4"/>
      <c r="ALP103" s="4"/>
      <c r="ALQ103" s="4"/>
      <c r="ALR103" s="4"/>
    </row>
    <row r="104" spans="1:1006" x14ac:dyDescent="0.25">
      <c r="A104" s="171" t="s">
        <v>282</v>
      </c>
      <c r="B104" s="55" t="s">
        <v>483</v>
      </c>
      <c r="C104" s="123" t="s">
        <v>652</v>
      </c>
      <c r="D104" s="81" t="s">
        <v>293</v>
      </c>
      <c r="E104" s="49" t="s">
        <v>38</v>
      </c>
      <c r="F104" s="49" t="s">
        <v>34</v>
      </c>
      <c r="G104" s="57" t="s">
        <v>34</v>
      </c>
      <c r="H104" s="49" t="s">
        <v>431</v>
      </c>
      <c r="I104" s="52" t="s">
        <v>34</v>
      </c>
      <c r="J104" s="53">
        <v>999</v>
      </c>
      <c r="K104" s="54">
        <v>46037</v>
      </c>
      <c r="L104" s="49" t="s">
        <v>32</v>
      </c>
      <c r="M104" s="49"/>
      <c r="N104" s="53">
        <v>540</v>
      </c>
      <c r="O104" s="54">
        <v>46052</v>
      </c>
      <c r="P104" s="49" t="s">
        <v>32</v>
      </c>
      <c r="Q104" s="55" t="s">
        <v>439</v>
      </c>
      <c r="R104" s="53">
        <v>3722.17</v>
      </c>
      <c r="S104" s="54">
        <v>46038</v>
      </c>
      <c r="T104" s="49" t="s">
        <v>32</v>
      </c>
      <c r="U104" s="53">
        <v>5402.65</v>
      </c>
      <c r="V104" s="54">
        <v>46053</v>
      </c>
      <c r="W104" s="49" t="s">
        <v>32</v>
      </c>
      <c r="X104" s="56"/>
      <c r="Y104" s="49" t="s">
        <v>34</v>
      </c>
      <c r="Z104" s="53"/>
      <c r="AA104" s="172"/>
      <c r="AB104" s="6"/>
      <c r="AC104" s="5"/>
      <c r="AD104" s="5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</row>
    <row r="105" spans="1:1006" x14ac:dyDescent="0.25">
      <c r="A105" s="171" t="s">
        <v>282</v>
      </c>
      <c r="B105" s="48" t="s">
        <v>283</v>
      </c>
      <c r="C105" s="123" t="s">
        <v>621</v>
      </c>
      <c r="D105" s="81" t="s">
        <v>284</v>
      </c>
      <c r="E105" s="49" t="s">
        <v>30</v>
      </c>
      <c r="F105" s="50" t="s">
        <v>34</v>
      </c>
      <c r="G105" s="70">
        <v>14502.75</v>
      </c>
      <c r="H105" s="49" t="s">
        <v>431</v>
      </c>
      <c r="I105" s="52" t="s">
        <v>34</v>
      </c>
      <c r="J105" s="53">
        <v>999</v>
      </c>
      <c r="K105" s="54">
        <v>46037</v>
      </c>
      <c r="L105" s="49" t="s">
        <v>32</v>
      </c>
      <c r="M105" s="55" t="s">
        <v>34</v>
      </c>
      <c r="N105" s="53">
        <v>300</v>
      </c>
      <c r="O105" s="54">
        <v>46052</v>
      </c>
      <c r="P105" s="49" t="s">
        <v>32</v>
      </c>
      <c r="Q105" s="55" t="s">
        <v>286</v>
      </c>
      <c r="R105" s="53">
        <v>3858.13</v>
      </c>
      <c r="S105" s="54">
        <v>46038</v>
      </c>
      <c r="T105" s="49" t="s">
        <v>32</v>
      </c>
      <c r="U105" s="53">
        <v>2702.75</v>
      </c>
      <c r="V105" s="54">
        <v>46053</v>
      </c>
      <c r="W105" s="49" t="s">
        <v>32</v>
      </c>
      <c r="X105" s="56" t="s">
        <v>34</v>
      </c>
      <c r="Y105" s="49" t="s">
        <v>34</v>
      </c>
      <c r="Z105" s="53"/>
      <c r="AA105" s="172" t="s">
        <v>40</v>
      </c>
      <c r="AB105" s="6"/>
      <c r="AC105" s="5"/>
      <c r="AD105" s="5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  <c r="AJG105" s="4"/>
      <c r="AJH105" s="4"/>
      <c r="AJI105" s="4"/>
      <c r="AJJ105" s="4"/>
      <c r="AJK105" s="4"/>
      <c r="AJL105" s="4"/>
      <c r="AJM105" s="4"/>
      <c r="AJN105" s="4"/>
      <c r="AJO105" s="4"/>
      <c r="AJP105" s="4"/>
      <c r="AJQ105" s="4"/>
      <c r="AJR105" s="4"/>
      <c r="AJS105" s="4"/>
      <c r="AJT105" s="4"/>
      <c r="AJU105" s="4"/>
      <c r="AJV105" s="4"/>
      <c r="AJW105" s="4"/>
      <c r="AJX105" s="4"/>
      <c r="AJY105" s="4"/>
      <c r="AJZ105" s="4"/>
      <c r="AKA105" s="4"/>
      <c r="AKB105" s="4"/>
      <c r="AKC105" s="4"/>
      <c r="AKD105" s="4"/>
      <c r="AKE105" s="4"/>
      <c r="AKF105" s="4"/>
      <c r="AKG105" s="4"/>
      <c r="AKH105" s="4"/>
      <c r="AKI105" s="4"/>
      <c r="AKJ105" s="4"/>
      <c r="AKK105" s="4"/>
      <c r="AKL105" s="4"/>
      <c r="AKM105" s="4"/>
      <c r="AKN105" s="4"/>
      <c r="AKO105" s="4"/>
      <c r="AKP105" s="4"/>
      <c r="AKQ105" s="4"/>
      <c r="AKR105" s="4"/>
      <c r="AKS105" s="4"/>
      <c r="AKT105" s="4"/>
      <c r="AKU105" s="4"/>
      <c r="AKV105" s="4"/>
      <c r="AKW105" s="4"/>
      <c r="AKX105" s="4"/>
      <c r="AKY105" s="4"/>
      <c r="AKZ105" s="4"/>
      <c r="ALA105" s="4"/>
      <c r="ALB105" s="4"/>
      <c r="ALC105" s="4"/>
      <c r="ALD105" s="4"/>
      <c r="ALE105" s="4"/>
      <c r="ALF105" s="4"/>
      <c r="ALG105" s="4"/>
      <c r="ALH105" s="4"/>
      <c r="ALI105" s="4"/>
      <c r="ALJ105" s="4"/>
      <c r="ALK105" s="4"/>
      <c r="ALL105" s="4"/>
      <c r="ALM105" s="4"/>
      <c r="ALN105" s="4"/>
      <c r="ALO105" s="4"/>
      <c r="ALP105" s="4"/>
      <c r="ALQ105" s="4"/>
      <c r="ALR105" s="4"/>
    </row>
    <row r="106" spans="1:1006" x14ac:dyDescent="0.25">
      <c r="A106" s="171" t="s">
        <v>282</v>
      </c>
      <c r="B106" s="48" t="s">
        <v>481</v>
      </c>
      <c r="C106" s="123" t="s">
        <v>646</v>
      </c>
      <c r="D106" s="81" t="s">
        <v>351</v>
      </c>
      <c r="E106" s="49" t="s">
        <v>38</v>
      </c>
      <c r="F106" s="49" t="s">
        <v>34</v>
      </c>
      <c r="G106" s="70" t="s">
        <v>34</v>
      </c>
      <c r="H106" s="49" t="s">
        <v>431</v>
      </c>
      <c r="I106" s="52" t="s">
        <v>34</v>
      </c>
      <c r="J106" s="53">
        <v>999</v>
      </c>
      <c r="K106" s="54">
        <v>46037</v>
      </c>
      <c r="L106" s="49" t="s">
        <v>32</v>
      </c>
      <c r="M106" s="55"/>
      <c r="N106" s="53">
        <v>300</v>
      </c>
      <c r="O106" s="54">
        <v>46052</v>
      </c>
      <c r="P106" s="49" t="s">
        <v>32</v>
      </c>
      <c r="Q106" s="55" t="s">
        <v>348</v>
      </c>
      <c r="R106" s="53">
        <v>1705.29</v>
      </c>
      <c r="S106" s="54">
        <v>46038</v>
      </c>
      <c r="T106" s="49" t="s">
        <v>32</v>
      </c>
      <c r="U106" s="53">
        <v>2702.75</v>
      </c>
      <c r="V106" s="54">
        <v>46053</v>
      </c>
      <c r="W106" s="49" t="s">
        <v>32</v>
      </c>
      <c r="X106" s="56"/>
      <c r="Y106" s="49" t="s">
        <v>34</v>
      </c>
      <c r="Z106" s="53"/>
      <c r="AA106" s="172"/>
      <c r="AB106" s="6"/>
      <c r="AC106" s="5"/>
      <c r="AD106" s="5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  <c r="AJG106" s="4"/>
      <c r="AJH106" s="4"/>
      <c r="AJI106" s="4"/>
      <c r="AJJ106" s="4"/>
      <c r="AJK106" s="4"/>
      <c r="AJL106" s="4"/>
      <c r="AJM106" s="4"/>
      <c r="AJN106" s="4"/>
      <c r="AJO106" s="4"/>
      <c r="AJP106" s="4"/>
      <c r="AJQ106" s="4"/>
      <c r="AJR106" s="4"/>
      <c r="AJS106" s="4"/>
      <c r="AJT106" s="4"/>
      <c r="AJU106" s="4"/>
      <c r="AJV106" s="4"/>
      <c r="AJW106" s="4"/>
      <c r="AJX106" s="4"/>
      <c r="AJY106" s="4"/>
      <c r="AJZ106" s="4"/>
      <c r="AKA106" s="4"/>
      <c r="AKB106" s="4"/>
      <c r="AKC106" s="4"/>
      <c r="AKD106" s="4"/>
      <c r="AKE106" s="4"/>
      <c r="AKF106" s="4"/>
      <c r="AKG106" s="4"/>
      <c r="AKH106" s="4"/>
      <c r="AKI106" s="4"/>
      <c r="AKJ106" s="4"/>
      <c r="AKK106" s="4"/>
      <c r="AKL106" s="4"/>
      <c r="AKM106" s="4"/>
      <c r="AKN106" s="4"/>
      <c r="AKO106" s="4"/>
      <c r="AKP106" s="4"/>
      <c r="AKQ106" s="4"/>
      <c r="AKR106" s="4"/>
      <c r="AKS106" s="4"/>
      <c r="AKT106" s="4"/>
      <c r="AKU106" s="4"/>
      <c r="AKV106" s="4"/>
      <c r="AKW106" s="4"/>
      <c r="AKX106" s="4"/>
      <c r="AKY106" s="4"/>
      <c r="AKZ106" s="4"/>
      <c r="ALA106" s="4"/>
      <c r="ALB106" s="4"/>
      <c r="ALC106" s="4"/>
      <c r="ALD106" s="4"/>
      <c r="ALE106" s="4"/>
      <c r="ALF106" s="4"/>
      <c r="ALG106" s="4"/>
      <c r="ALH106" s="4"/>
      <c r="ALI106" s="4"/>
      <c r="ALJ106" s="4"/>
      <c r="ALK106" s="4"/>
      <c r="ALL106" s="4"/>
      <c r="ALM106" s="4"/>
      <c r="ALN106" s="4"/>
      <c r="ALO106" s="4"/>
      <c r="ALP106" s="4"/>
      <c r="ALQ106" s="4"/>
      <c r="ALR106" s="4"/>
    </row>
    <row r="107" spans="1:1006" x14ac:dyDescent="0.25">
      <c r="A107" s="171" t="s">
        <v>282</v>
      </c>
      <c r="B107" s="48" t="s">
        <v>480</v>
      </c>
      <c r="C107" s="123" t="s">
        <v>645</v>
      </c>
      <c r="D107" s="81" t="s">
        <v>349</v>
      </c>
      <c r="E107" s="49" t="s">
        <v>38</v>
      </c>
      <c r="F107" s="49" t="s">
        <v>34</v>
      </c>
      <c r="G107" s="70" t="s">
        <v>34</v>
      </c>
      <c r="H107" s="49" t="s">
        <v>431</v>
      </c>
      <c r="I107" s="52" t="s">
        <v>34</v>
      </c>
      <c r="J107" s="53">
        <v>999</v>
      </c>
      <c r="K107" s="54">
        <v>46037</v>
      </c>
      <c r="L107" s="49" t="s">
        <v>32</v>
      </c>
      <c r="M107" s="55"/>
      <c r="N107" s="53">
        <v>300</v>
      </c>
      <c r="O107" s="54">
        <v>46052</v>
      </c>
      <c r="P107" s="49" t="s">
        <v>32</v>
      </c>
      <c r="Q107" s="55" t="s">
        <v>350</v>
      </c>
      <c r="R107" s="53">
        <v>1127.3900000000001</v>
      </c>
      <c r="S107" s="54">
        <v>46038</v>
      </c>
      <c r="T107" s="49" t="s">
        <v>32</v>
      </c>
      <c r="U107" s="53">
        <v>2702.75</v>
      </c>
      <c r="V107" s="54">
        <v>46053</v>
      </c>
      <c r="W107" s="49" t="s">
        <v>32</v>
      </c>
      <c r="X107" s="56"/>
      <c r="Y107" s="49" t="s">
        <v>34</v>
      </c>
      <c r="Z107" s="53"/>
      <c r="AA107" s="172"/>
      <c r="AB107" s="6"/>
      <c r="AC107" s="5"/>
      <c r="AD107" s="5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  <c r="AJG107" s="4"/>
      <c r="AJH107" s="4"/>
      <c r="AJI107" s="4"/>
      <c r="AJJ107" s="4"/>
      <c r="AJK107" s="4"/>
      <c r="AJL107" s="4"/>
      <c r="AJM107" s="4"/>
      <c r="AJN107" s="4"/>
      <c r="AJO107" s="4"/>
      <c r="AJP107" s="4"/>
      <c r="AJQ107" s="4"/>
      <c r="AJR107" s="4"/>
      <c r="AJS107" s="4"/>
      <c r="AJT107" s="4"/>
      <c r="AJU107" s="4"/>
      <c r="AJV107" s="4"/>
      <c r="AJW107" s="4"/>
      <c r="AJX107" s="4"/>
      <c r="AJY107" s="4"/>
      <c r="AJZ107" s="4"/>
      <c r="AKA107" s="4"/>
      <c r="AKB107" s="4"/>
      <c r="AKC107" s="4"/>
      <c r="AKD107" s="4"/>
      <c r="AKE107" s="4"/>
      <c r="AKF107" s="4"/>
      <c r="AKG107" s="4"/>
      <c r="AKH107" s="4"/>
      <c r="AKI107" s="4"/>
      <c r="AKJ107" s="4"/>
      <c r="AKK107" s="4"/>
      <c r="AKL107" s="4"/>
      <c r="AKM107" s="4"/>
      <c r="AKN107" s="4"/>
      <c r="AKO107" s="4"/>
      <c r="AKP107" s="4"/>
      <c r="AKQ107" s="4"/>
      <c r="AKR107" s="4"/>
      <c r="AKS107" s="4"/>
      <c r="AKT107" s="4"/>
      <c r="AKU107" s="4"/>
      <c r="AKV107" s="4"/>
      <c r="AKW107" s="4"/>
      <c r="AKX107" s="4"/>
      <c r="AKY107" s="4"/>
      <c r="AKZ107" s="4"/>
      <c r="ALA107" s="4"/>
      <c r="ALB107" s="4"/>
      <c r="ALC107" s="4"/>
      <c r="ALD107" s="4"/>
      <c r="ALE107" s="4"/>
      <c r="ALF107" s="4"/>
      <c r="ALG107" s="4"/>
      <c r="ALH107" s="4"/>
      <c r="ALI107" s="4"/>
      <c r="ALJ107" s="4"/>
      <c r="ALK107" s="4"/>
      <c r="ALL107" s="4"/>
      <c r="ALM107" s="4"/>
      <c r="ALN107" s="4"/>
      <c r="ALO107" s="4"/>
      <c r="ALP107" s="4"/>
      <c r="ALQ107" s="4"/>
      <c r="ALR107" s="4"/>
    </row>
    <row r="108" spans="1:1006" x14ac:dyDescent="0.25">
      <c r="A108" s="171" t="s">
        <v>282</v>
      </c>
      <c r="B108" s="48" t="s">
        <v>479</v>
      </c>
      <c r="C108" s="123" t="s">
        <v>644</v>
      </c>
      <c r="D108" s="81" t="s">
        <v>351</v>
      </c>
      <c r="E108" s="49" t="s">
        <v>38</v>
      </c>
      <c r="F108" s="49" t="s">
        <v>34</v>
      </c>
      <c r="G108" s="70" t="s">
        <v>34</v>
      </c>
      <c r="H108" s="49" t="s">
        <v>431</v>
      </c>
      <c r="I108" s="52" t="s">
        <v>34</v>
      </c>
      <c r="J108" s="53">
        <v>999</v>
      </c>
      <c r="K108" s="54">
        <v>46037</v>
      </c>
      <c r="L108" s="49" t="s">
        <v>32</v>
      </c>
      <c r="M108" s="55"/>
      <c r="N108" s="53">
        <v>300</v>
      </c>
      <c r="O108" s="54">
        <v>46052</v>
      </c>
      <c r="P108" s="49" t="s">
        <v>32</v>
      </c>
      <c r="Q108" s="55" t="s">
        <v>352</v>
      </c>
      <c r="R108" s="53">
        <v>1297.3599999999999</v>
      </c>
      <c r="S108" s="54">
        <v>46040</v>
      </c>
      <c r="T108" s="49" t="s">
        <v>32</v>
      </c>
      <c r="U108" s="53">
        <v>2702.75</v>
      </c>
      <c r="V108" s="54">
        <v>46053</v>
      </c>
      <c r="W108" s="49" t="s">
        <v>32</v>
      </c>
      <c r="X108" s="56"/>
      <c r="Y108" s="49" t="s">
        <v>34</v>
      </c>
      <c r="Z108" s="53"/>
      <c r="AA108" s="172"/>
      <c r="AB108" s="6"/>
      <c r="AC108" s="5"/>
      <c r="AD108" s="5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  <c r="AJG108" s="4"/>
      <c r="AJH108" s="4"/>
      <c r="AJI108" s="4"/>
      <c r="AJJ108" s="4"/>
      <c r="AJK108" s="4"/>
      <c r="AJL108" s="4"/>
      <c r="AJM108" s="4"/>
      <c r="AJN108" s="4"/>
      <c r="AJO108" s="4"/>
      <c r="AJP108" s="4"/>
      <c r="AJQ108" s="4"/>
      <c r="AJR108" s="4"/>
      <c r="AJS108" s="4"/>
      <c r="AJT108" s="4"/>
      <c r="AJU108" s="4"/>
      <c r="AJV108" s="4"/>
      <c r="AJW108" s="4"/>
      <c r="AJX108" s="4"/>
      <c r="AJY108" s="4"/>
      <c r="AJZ108" s="4"/>
      <c r="AKA108" s="4"/>
      <c r="AKB108" s="4"/>
      <c r="AKC108" s="4"/>
      <c r="AKD108" s="4"/>
      <c r="AKE108" s="4"/>
      <c r="AKF108" s="4"/>
      <c r="AKG108" s="4"/>
      <c r="AKH108" s="4"/>
      <c r="AKI108" s="4"/>
      <c r="AKJ108" s="4"/>
      <c r="AKK108" s="4"/>
      <c r="AKL108" s="4"/>
      <c r="AKM108" s="4"/>
      <c r="AKN108" s="4"/>
      <c r="AKO108" s="4"/>
      <c r="AKP108" s="4"/>
      <c r="AKQ108" s="4"/>
      <c r="AKR108" s="4"/>
      <c r="AKS108" s="4"/>
      <c r="AKT108" s="4"/>
      <c r="AKU108" s="4"/>
      <c r="AKV108" s="4"/>
      <c r="AKW108" s="4"/>
      <c r="AKX108" s="4"/>
      <c r="AKY108" s="4"/>
      <c r="AKZ108" s="4"/>
      <c r="ALA108" s="4"/>
      <c r="ALB108" s="4"/>
      <c r="ALC108" s="4"/>
      <c r="ALD108" s="4"/>
      <c r="ALE108" s="4"/>
      <c r="ALF108" s="4"/>
      <c r="ALG108" s="4"/>
      <c r="ALH108" s="4"/>
      <c r="ALI108" s="4"/>
      <c r="ALJ108" s="4"/>
      <c r="ALK108" s="4"/>
      <c r="ALL108" s="4"/>
      <c r="ALM108" s="4"/>
      <c r="ALN108" s="4"/>
      <c r="ALO108" s="4"/>
      <c r="ALP108" s="4"/>
      <c r="ALQ108" s="4"/>
      <c r="ALR108" s="4"/>
    </row>
    <row r="109" spans="1:1006" x14ac:dyDescent="0.25">
      <c r="A109" s="171" t="s">
        <v>282</v>
      </c>
      <c r="B109" s="48" t="s">
        <v>478</v>
      </c>
      <c r="C109" s="123" t="s">
        <v>643</v>
      </c>
      <c r="D109" s="81" t="s">
        <v>353</v>
      </c>
      <c r="E109" s="49" t="s">
        <v>38</v>
      </c>
      <c r="F109" s="49" t="s">
        <v>34</v>
      </c>
      <c r="G109" s="70" t="s">
        <v>34</v>
      </c>
      <c r="H109" s="49" t="s">
        <v>431</v>
      </c>
      <c r="I109" s="52" t="s">
        <v>34</v>
      </c>
      <c r="J109" s="53">
        <v>999</v>
      </c>
      <c r="K109" s="54">
        <v>46037</v>
      </c>
      <c r="L109" s="49" t="s">
        <v>32</v>
      </c>
      <c r="M109" s="55"/>
      <c r="N109" s="53">
        <v>300</v>
      </c>
      <c r="O109" s="54">
        <v>46052</v>
      </c>
      <c r="P109" s="49" t="s">
        <v>32</v>
      </c>
      <c r="Q109" s="55" t="s">
        <v>354</v>
      </c>
      <c r="R109" s="53">
        <v>2781.73</v>
      </c>
      <c r="S109" s="54">
        <v>46038</v>
      </c>
      <c r="T109" s="49" t="s">
        <v>32</v>
      </c>
      <c r="U109" s="53">
        <v>2702.75</v>
      </c>
      <c r="V109" s="54">
        <v>46053</v>
      </c>
      <c r="W109" s="49" t="s">
        <v>32</v>
      </c>
      <c r="X109" s="56"/>
      <c r="Y109" s="49" t="s">
        <v>34</v>
      </c>
      <c r="Z109" s="53"/>
      <c r="AA109" s="172"/>
      <c r="AB109" s="6"/>
      <c r="AC109" s="5"/>
      <c r="AD109" s="5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  <c r="AJG109" s="4"/>
      <c r="AJH109" s="4"/>
      <c r="AJI109" s="4"/>
      <c r="AJJ109" s="4"/>
      <c r="AJK109" s="4"/>
      <c r="AJL109" s="4"/>
      <c r="AJM109" s="4"/>
      <c r="AJN109" s="4"/>
      <c r="AJO109" s="4"/>
      <c r="AJP109" s="4"/>
      <c r="AJQ109" s="4"/>
      <c r="AJR109" s="4"/>
      <c r="AJS109" s="4"/>
      <c r="AJT109" s="4"/>
      <c r="AJU109" s="4"/>
      <c r="AJV109" s="4"/>
      <c r="AJW109" s="4"/>
      <c r="AJX109" s="4"/>
      <c r="AJY109" s="4"/>
      <c r="AJZ109" s="4"/>
      <c r="AKA109" s="4"/>
      <c r="AKB109" s="4"/>
      <c r="AKC109" s="4"/>
      <c r="AKD109" s="4"/>
      <c r="AKE109" s="4"/>
      <c r="AKF109" s="4"/>
      <c r="AKG109" s="4"/>
      <c r="AKH109" s="4"/>
      <c r="AKI109" s="4"/>
      <c r="AKJ109" s="4"/>
      <c r="AKK109" s="4"/>
      <c r="AKL109" s="4"/>
      <c r="AKM109" s="4"/>
      <c r="AKN109" s="4"/>
      <c r="AKO109" s="4"/>
      <c r="AKP109" s="4"/>
      <c r="AKQ109" s="4"/>
      <c r="AKR109" s="4"/>
      <c r="AKS109" s="4"/>
      <c r="AKT109" s="4"/>
      <c r="AKU109" s="4"/>
      <c r="AKV109" s="4"/>
      <c r="AKW109" s="4"/>
      <c r="AKX109" s="4"/>
      <c r="AKY109" s="4"/>
      <c r="AKZ109" s="4"/>
      <c r="ALA109" s="4"/>
      <c r="ALB109" s="4"/>
      <c r="ALC109" s="4"/>
      <c r="ALD109" s="4"/>
      <c r="ALE109" s="4"/>
      <c r="ALF109" s="4"/>
      <c r="ALG109" s="4"/>
      <c r="ALH109" s="4"/>
      <c r="ALI109" s="4"/>
      <c r="ALJ109" s="4"/>
      <c r="ALK109" s="4"/>
      <c r="ALL109" s="4"/>
      <c r="ALM109" s="4"/>
      <c r="ALN109" s="4"/>
      <c r="ALO109" s="4"/>
      <c r="ALP109" s="4"/>
      <c r="ALQ109" s="4"/>
      <c r="ALR109" s="4"/>
    </row>
    <row r="110" spans="1:1006" x14ac:dyDescent="0.25">
      <c r="A110" s="171" t="s">
        <v>282</v>
      </c>
      <c r="B110" s="48" t="s">
        <v>482</v>
      </c>
      <c r="C110" s="123" t="s">
        <v>647</v>
      </c>
      <c r="D110" s="81" t="s">
        <v>355</v>
      </c>
      <c r="E110" s="49" t="s">
        <v>38</v>
      </c>
      <c r="F110" s="49" t="s">
        <v>34</v>
      </c>
      <c r="G110" s="70" t="s">
        <v>34</v>
      </c>
      <c r="H110" s="49" t="s">
        <v>431</v>
      </c>
      <c r="I110" s="52" t="s">
        <v>34</v>
      </c>
      <c r="J110" s="53">
        <v>999</v>
      </c>
      <c r="K110" s="54">
        <v>46037</v>
      </c>
      <c r="L110" s="49" t="s">
        <v>32</v>
      </c>
      <c r="M110" s="55"/>
      <c r="N110" s="53">
        <v>360</v>
      </c>
      <c r="O110" s="54">
        <v>46052</v>
      </c>
      <c r="P110" s="49" t="s">
        <v>32</v>
      </c>
      <c r="Q110" s="55" t="s">
        <v>357</v>
      </c>
      <c r="R110" s="53">
        <v>2033.87</v>
      </c>
      <c r="S110" s="54">
        <v>46038</v>
      </c>
      <c r="T110" s="49" t="s">
        <v>32</v>
      </c>
      <c r="U110" s="53">
        <v>2702.75</v>
      </c>
      <c r="V110" s="54">
        <v>46053</v>
      </c>
      <c r="W110" s="49" t="s">
        <v>32</v>
      </c>
      <c r="X110" s="56"/>
      <c r="Y110" s="49" t="s">
        <v>34</v>
      </c>
      <c r="Z110" s="53"/>
      <c r="AA110" s="172"/>
      <c r="AB110" s="6"/>
      <c r="AC110" s="5"/>
      <c r="AD110" s="5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</row>
    <row r="111" spans="1:1006" x14ac:dyDescent="0.25">
      <c r="A111" s="171" t="s">
        <v>282</v>
      </c>
      <c r="B111" s="48" t="s">
        <v>477</v>
      </c>
      <c r="C111" s="123" t="s">
        <v>631</v>
      </c>
      <c r="D111" s="81" t="s">
        <v>356</v>
      </c>
      <c r="E111" s="49" t="s">
        <v>38</v>
      </c>
      <c r="F111" s="49" t="s">
        <v>34</v>
      </c>
      <c r="G111" s="70" t="s">
        <v>34</v>
      </c>
      <c r="H111" s="49" t="s">
        <v>431</v>
      </c>
      <c r="I111" s="52" t="s">
        <v>34</v>
      </c>
      <c r="J111" s="53">
        <v>999</v>
      </c>
      <c r="K111" s="54">
        <v>46037</v>
      </c>
      <c r="L111" s="49" t="s">
        <v>32</v>
      </c>
      <c r="M111" s="55"/>
      <c r="N111" s="53">
        <v>480</v>
      </c>
      <c r="O111" s="54">
        <v>46052</v>
      </c>
      <c r="P111" s="49" t="s">
        <v>32</v>
      </c>
      <c r="Q111" s="55" t="s">
        <v>358</v>
      </c>
      <c r="R111" s="53">
        <v>2351.15</v>
      </c>
      <c r="S111" s="54">
        <v>46038</v>
      </c>
      <c r="T111" s="49" t="s">
        <v>32</v>
      </c>
      <c r="U111" s="53">
        <v>2702.75</v>
      </c>
      <c r="V111" s="54">
        <v>46053</v>
      </c>
      <c r="W111" s="49" t="s">
        <v>32</v>
      </c>
      <c r="X111" s="56"/>
      <c r="Y111" s="49" t="s">
        <v>34</v>
      </c>
      <c r="Z111" s="53"/>
      <c r="AA111" s="172"/>
      <c r="AB111" s="6"/>
      <c r="AC111" s="5"/>
      <c r="AD111" s="5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  <c r="AJG111" s="4"/>
      <c r="AJH111" s="4"/>
      <c r="AJI111" s="4"/>
      <c r="AJJ111" s="4"/>
      <c r="AJK111" s="4"/>
      <c r="AJL111" s="4"/>
      <c r="AJM111" s="4"/>
      <c r="AJN111" s="4"/>
      <c r="AJO111" s="4"/>
      <c r="AJP111" s="4"/>
      <c r="AJQ111" s="4"/>
      <c r="AJR111" s="4"/>
      <c r="AJS111" s="4"/>
      <c r="AJT111" s="4"/>
      <c r="AJU111" s="4"/>
      <c r="AJV111" s="4"/>
      <c r="AJW111" s="4"/>
      <c r="AJX111" s="4"/>
      <c r="AJY111" s="4"/>
      <c r="AJZ111" s="4"/>
      <c r="AKA111" s="4"/>
      <c r="AKB111" s="4"/>
      <c r="AKC111" s="4"/>
      <c r="AKD111" s="4"/>
      <c r="AKE111" s="4"/>
      <c r="AKF111" s="4"/>
      <c r="AKG111" s="4"/>
      <c r="AKH111" s="4"/>
      <c r="AKI111" s="4"/>
      <c r="AKJ111" s="4"/>
      <c r="AKK111" s="4"/>
      <c r="AKL111" s="4"/>
      <c r="AKM111" s="4"/>
      <c r="AKN111" s="4"/>
      <c r="AKO111" s="4"/>
      <c r="AKP111" s="4"/>
      <c r="AKQ111" s="4"/>
      <c r="AKR111" s="4"/>
      <c r="AKS111" s="4"/>
      <c r="AKT111" s="4"/>
      <c r="AKU111" s="4"/>
      <c r="AKV111" s="4"/>
      <c r="AKW111" s="4"/>
      <c r="AKX111" s="4"/>
      <c r="AKY111" s="4"/>
      <c r="AKZ111" s="4"/>
      <c r="ALA111" s="4"/>
      <c r="ALB111" s="4"/>
      <c r="ALC111" s="4"/>
      <c r="ALD111" s="4"/>
      <c r="ALE111" s="4"/>
      <c r="ALF111" s="4"/>
      <c r="ALG111" s="4"/>
      <c r="ALH111" s="4"/>
      <c r="ALI111" s="4"/>
      <c r="ALJ111" s="4"/>
      <c r="ALK111" s="4"/>
      <c r="ALL111" s="4"/>
      <c r="ALM111" s="4"/>
      <c r="ALN111" s="4"/>
      <c r="ALO111" s="4"/>
      <c r="ALP111" s="4"/>
      <c r="ALQ111" s="4"/>
      <c r="ALR111" s="4"/>
    </row>
    <row r="112" spans="1:1006" x14ac:dyDescent="0.25">
      <c r="A112" s="171" t="s">
        <v>282</v>
      </c>
      <c r="B112" s="48" t="s">
        <v>476</v>
      </c>
      <c r="C112" s="123" t="s">
        <v>648</v>
      </c>
      <c r="D112" s="81" t="s">
        <v>364</v>
      </c>
      <c r="E112" s="49" t="s">
        <v>38</v>
      </c>
      <c r="F112" s="49" t="s">
        <v>34</v>
      </c>
      <c r="G112" s="70" t="s">
        <v>34</v>
      </c>
      <c r="H112" s="49" t="s">
        <v>431</v>
      </c>
      <c r="I112" s="75" t="s">
        <v>34</v>
      </c>
      <c r="J112" s="53">
        <v>999</v>
      </c>
      <c r="K112" s="54">
        <v>46037</v>
      </c>
      <c r="L112" s="49" t="s">
        <v>32</v>
      </c>
      <c r="M112" s="55"/>
      <c r="N112" s="53">
        <v>300</v>
      </c>
      <c r="O112" s="54">
        <v>46052</v>
      </c>
      <c r="P112" s="49" t="s">
        <v>32</v>
      </c>
      <c r="Q112" s="55" t="s">
        <v>365</v>
      </c>
      <c r="R112" s="53">
        <v>2305.8000000000002</v>
      </c>
      <c r="S112" s="54">
        <v>46040</v>
      </c>
      <c r="T112" s="49" t="s">
        <v>32</v>
      </c>
      <c r="U112" s="53">
        <v>3750.6</v>
      </c>
      <c r="V112" s="54">
        <v>46053</v>
      </c>
      <c r="W112" s="49" t="s">
        <v>32</v>
      </c>
      <c r="X112" s="56"/>
      <c r="Y112" s="49" t="s">
        <v>34</v>
      </c>
      <c r="Z112" s="53"/>
      <c r="AA112" s="172"/>
      <c r="AB112" s="6"/>
      <c r="AC112" s="5"/>
      <c r="AD112" s="5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</row>
    <row r="113" spans="1:1006" x14ac:dyDescent="0.25">
      <c r="A113" s="174" t="s">
        <v>282</v>
      </c>
      <c r="B113" s="48" t="s">
        <v>287</v>
      </c>
      <c r="C113" s="123" t="s">
        <v>659</v>
      </c>
      <c r="D113" s="81" t="s">
        <v>284</v>
      </c>
      <c r="E113" s="55" t="s">
        <v>30</v>
      </c>
      <c r="F113" s="83" t="s">
        <v>34</v>
      </c>
      <c r="G113" s="84">
        <v>14498.95</v>
      </c>
      <c r="H113" s="55" t="s">
        <v>404</v>
      </c>
      <c r="I113" s="52">
        <v>1680000768923</v>
      </c>
      <c r="J113" s="53">
        <f>1699+10</f>
        <v>1709</v>
      </c>
      <c r="K113" s="54">
        <v>46042</v>
      </c>
      <c r="L113" s="49" t="s">
        <v>32</v>
      </c>
      <c r="M113" s="55" t="s">
        <v>34</v>
      </c>
      <c r="N113" s="53">
        <v>420</v>
      </c>
      <c r="O113" s="54">
        <v>46052</v>
      </c>
      <c r="P113" s="49" t="s">
        <v>32</v>
      </c>
      <c r="Q113" s="55" t="s">
        <v>288</v>
      </c>
      <c r="R113" s="53">
        <v>2577.7800000000002</v>
      </c>
      <c r="S113" s="54">
        <v>46038</v>
      </c>
      <c r="T113" s="49" t="s">
        <v>32</v>
      </c>
      <c r="U113" s="53">
        <v>2698.95</v>
      </c>
      <c r="V113" s="54">
        <v>46053</v>
      </c>
      <c r="W113" s="49" t="s">
        <v>32</v>
      </c>
      <c r="X113" s="56" t="s">
        <v>34</v>
      </c>
      <c r="Y113" s="49" t="s">
        <v>34</v>
      </c>
      <c r="Z113" s="76"/>
      <c r="AA113" s="172" t="s">
        <v>40</v>
      </c>
      <c r="AB113" s="6"/>
      <c r="AC113" s="5"/>
      <c r="AD113" s="5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  <c r="AJG113" s="4"/>
      <c r="AJH113" s="4"/>
      <c r="AJI113" s="4"/>
      <c r="AJJ113" s="4"/>
      <c r="AJK113" s="4"/>
      <c r="AJL113" s="4"/>
      <c r="AJM113" s="4"/>
      <c r="AJN113" s="4"/>
      <c r="AJO113" s="4"/>
      <c r="AJP113" s="4"/>
      <c r="AJQ113" s="4"/>
      <c r="AJR113" s="4"/>
      <c r="AJS113" s="4"/>
      <c r="AJT113" s="4"/>
      <c r="AJU113" s="4"/>
      <c r="AJV113" s="4"/>
      <c r="AJW113" s="4"/>
      <c r="AJX113" s="4"/>
      <c r="AJY113" s="4"/>
      <c r="AJZ113" s="4"/>
      <c r="AKA113" s="4"/>
      <c r="AKB113" s="4"/>
      <c r="AKC113" s="4"/>
      <c r="AKD113" s="4"/>
      <c r="AKE113" s="4"/>
      <c r="AKF113" s="4"/>
      <c r="AKG113" s="4"/>
      <c r="AKH113" s="4"/>
      <c r="AKI113" s="4"/>
      <c r="AKJ113" s="4"/>
      <c r="AKK113" s="4"/>
      <c r="AKL113" s="4"/>
      <c r="AKM113" s="4"/>
      <c r="AKN113" s="4"/>
      <c r="AKO113" s="4"/>
      <c r="AKP113" s="4"/>
      <c r="AKQ113" s="4"/>
      <c r="AKR113" s="4"/>
      <c r="AKS113" s="4"/>
      <c r="AKT113" s="4"/>
      <c r="AKU113" s="4"/>
      <c r="AKV113" s="4"/>
      <c r="AKW113" s="4"/>
      <c r="AKX113" s="4"/>
      <c r="AKY113" s="4"/>
      <c r="AKZ113" s="4"/>
      <c r="ALA113" s="4"/>
      <c r="ALB113" s="4"/>
      <c r="ALC113" s="4"/>
      <c r="ALD113" s="4"/>
      <c r="ALE113" s="4"/>
      <c r="ALF113" s="4"/>
      <c r="ALG113" s="4"/>
      <c r="ALH113" s="4"/>
      <c r="ALI113" s="4"/>
      <c r="ALJ113" s="4"/>
      <c r="ALK113" s="4"/>
      <c r="ALL113" s="4"/>
      <c r="ALM113" s="4"/>
      <c r="ALN113" s="4"/>
      <c r="ALO113" s="4"/>
      <c r="ALP113" s="4"/>
      <c r="ALQ113" s="4"/>
      <c r="ALR113" s="4"/>
    </row>
    <row r="114" spans="1:1006" x14ac:dyDescent="0.25">
      <c r="A114" s="171" t="s">
        <v>282</v>
      </c>
      <c r="B114" s="55" t="s">
        <v>289</v>
      </c>
      <c r="C114" s="123" t="s">
        <v>623</v>
      </c>
      <c r="D114" s="81" t="s">
        <v>290</v>
      </c>
      <c r="E114" s="49" t="s">
        <v>38</v>
      </c>
      <c r="F114" s="49" t="s">
        <v>34</v>
      </c>
      <c r="G114" s="68" t="s">
        <v>34</v>
      </c>
      <c r="H114" s="55" t="s">
        <v>404</v>
      </c>
      <c r="I114" s="52">
        <v>1680000063545</v>
      </c>
      <c r="J114" s="53">
        <v>1299</v>
      </c>
      <c r="K114" s="54">
        <v>46042</v>
      </c>
      <c r="L114" s="49" t="s">
        <v>32</v>
      </c>
      <c r="M114" s="55" t="s">
        <v>34</v>
      </c>
      <c r="N114" s="56">
        <v>300</v>
      </c>
      <c r="O114" s="54">
        <v>46052</v>
      </c>
      <c r="P114" s="49" t="s">
        <v>32</v>
      </c>
      <c r="Q114" s="55" t="s">
        <v>291</v>
      </c>
      <c r="R114" s="53">
        <v>2713.74</v>
      </c>
      <c r="S114" s="54">
        <v>46040</v>
      </c>
      <c r="T114" s="49" t="s">
        <v>32</v>
      </c>
      <c r="U114" s="53">
        <v>2698.95</v>
      </c>
      <c r="V114" s="54">
        <v>46053</v>
      </c>
      <c r="W114" s="49" t="s">
        <v>32</v>
      </c>
      <c r="X114" s="56" t="s">
        <v>34</v>
      </c>
      <c r="Y114" s="49" t="s">
        <v>34</v>
      </c>
      <c r="Z114" s="53"/>
      <c r="AA114" s="172" t="s">
        <v>40</v>
      </c>
      <c r="AB114" s="6"/>
      <c r="AC114" s="5"/>
      <c r="AD114" s="5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  <c r="AJG114" s="4"/>
      <c r="AJH114" s="4"/>
      <c r="AJI114" s="4"/>
      <c r="AJJ114" s="4"/>
      <c r="AJK114" s="4"/>
      <c r="AJL114" s="4"/>
      <c r="AJM114" s="4"/>
      <c r="AJN114" s="4"/>
      <c r="AJO114" s="4"/>
      <c r="AJP114" s="4"/>
      <c r="AJQ114" s="4"/>
      <c r="AJR114" s="4"/>
      <c r="AJS114" s="4"/>
      <c r="AJT114" s="4"/>
      <c r="AJU114" s="4"/>
      <c r="AJV114" s="4"/>
      <c r="AJW114" s="4"/>
      <c r="AJX114" s="4"/>
      <c r="AJY114" s="4"/>
      <c r="AJZ114" s="4"/>
      <c r="AKA114" s="4"/>
      <c r="AKB114" s="4"/>
      <c r="AKC114" s="4"/>
      <c r="AKD114" s="4"/>
      <c r="AKE114" s="4"/>
      <c r="AKF114" s="4"/>
      <c r="AKG114" s="4"/>
      <c r="AKH114" s="4"/>
      <c r="AKI114" s="4"/>
      <c r="AKJ114" s="4"/>
      <c r="AKK114" s="4"/>
      <c r="AKL114" s="4"/>
      <c r="AKM114" s="4"/>
      <c r="AKN114" s="4"/>
      <c r="AKO114" s="4"/>
      <c r="AKP114" s="4"/>
      <c r="AKQ114" s="4"/>
      <c r="AKR114" s="4"/>
      <c r="AKS114" s="4"/>
      <c r="AKT114" s="4"/>
      <c r="AKU114" s="4"/>
      <c r="AKV114" s="4"/>
      <c r="AKW114" s="4"/>
      <c r="AKX114" s="4"/>
      <c r="AKY114" s="4"/>
      <c r="AKZ114" s="4"/>
      <c r="ALA114" s="4"/>
      <c r="ALB114" s="4"/>
      <c r="ALC114" s="4"/>
      <c r="ALD114" s="4"/>
      <c r="ALE114" s="4"/>
      <c r="ALF114" s="4"/>
      <c r="ALG114" s="4"/>
      <c r="ALH114" s="4"/>
      <c r="ALI114" s="4"/>
      <c r="ALJ114" s="4"/>
      <c r="ALK114" s="4"/>
      <c r="ALL114" s="4"/>
      <c r="ALM114" s="4"/>
      <c r="ALN114" s="4"/>
      <c r="ALO114" s="4"/>
      <c r="ALP114" s="4"/>
      <c r="ALQ114" s="4"/>
      <c r="ALR114" s="4"/>
    </row>
    <row r="115" spans="1:1006" x14ac:dyDescent="0.25">
      <c r="A115" s="174" t="s">
        <v>282</v>
      </c>
      <c r="B115" s="48" t="s">
        <v>292</v>
      </c>
      <c r="C115" s="123" t="s">
        <v>624</v>
      </c>
      <c r="D115" s="81" t="s">
        <v>293</v>
      </c>
      <c r="E115" s="55" t="s">
        <v>38</v>
      </c>
      <c r="F115" s="55" t="s">
        <v>34</v>
      </c>
      <c r="G115" s="58" t="s">
        <v>34</v>
      </c>
      <c r="H115" s="49" t="s">
        <v>431</v>
      </c>
      <c r="I115" s="75" t="s">
        <v>34</v>
      </c>
      <c r="J115" s="53">
        <v>999</v>
      </c>
      <c r="K115" s="54">
        <v>46037</v>
      </c>
      <c r="L115" s="49" t="s">
        <v>32</v>
      </c>
      <c r="M115" s="55" t="s">
        <v>34</v>
      </c>
      <c r="N115" s="53">
        <v>300</v>
      </c>
      <c r="O115" s="54">
        <v>46052</v>
      </c>
      <c r="P115" s="49" t="s">
        <v>32</v>
      </c>
      <c r="Q115" s="55" t="s">
        <v>294</v>
      </c>
      <c r="R115" s="53">
        <v>1614.63</v>
      </c>
      <c r="S115" s="54">
        <v>46038</v>
      </c>
      <c r="T115" s="49" t="s">
        <v>32</v>
      </c>
      <c r="U115" s="53">
        <v>2702.75</v>
      </c>
      <c r="V115" s="54">
        <v>46053</v>
      </c>
      <c r="W115" s="49" t="s">
        <v>32</v>
      </c>
      <c r="X115" s="56" t="s">
        <v>34</v>
      </c>
      <c r="Y115" s="49" t="s">
        <v>34</v>
      </c>
      <c r="Z115" s="76"/>
      <c r="AA115" s="172" t="s">
        <v>40</v>
      </c>
      <c r="AB115" s="6"/>
      <c r="AC115" s="5"/>
      <c r="AD115" s="5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  <c r="ZN115" s="4"/>
      <c r="ZO115" s="4"/>
      <c r="ZP115" s="4"/>
      <c r="ZQ115" s="4"/>
      <c r="ZR115" s="4"/>
      <c r="ZS115" s="4"/>
      <c r="ZT115" s="4"/>
      <c r="ZU115" s="4"/>
      <c r="ZV115" s="4"/>
      <c r="ZW115" s="4"/>
      <c r="ZX115" s="4"/>
      <c r="ZY115" s="4"/>
      <c r="ZZ115" s="4"/>
      <c r="AAA115" s="4"/>
      <c r="AAB115" s="4"/>
      <c r="AAC115" s="4"/>
      <c r="AAD115" s="4"/>
      <c r="AAE115" s="4"/>
      <c r="AAF115" s="4"/>
      <c r="AAG115" s="4"/>
      <c r="AAH115" s="4"/>
      <c r="AAI115" s="4"/>
      <c r="AAJ115" s="4"/>
      <c r="AAK115" s="4"/>
      <c r="AAL115" s="4"/>
      <c r="AAM115" s="4"/>
      <c r="AAN115" s="4"/>
      <c r="AAO115" s="4"/>
      <c r="AAP115" s="4"/>
      <c r="AAQ115" s="4"/>
      <c r="AAR115" s="4"/>
      <c r="AAS115" s="4"/>
      <c r="AAT115" s="4"/>
      <c r="AAU115" s="4"/>
      <c r="AAV115" s="4"/>
      <c r="AAW115" s="4"/>
      <c r="AAX115" s="4"/>
      <c r="AAY115" s="4"/>
      <c r="AAZ115" s="4"/>
      <c r="ABA115" s="4"/>
      <c r="ABB115" s="4"/>
      <c r="ABC115" s="4"/>
      <c r="ABD115" s="4"/>
      <c r="ABE115" s="4"/>
      <c r="ABF115" s="4"/>
      <c r="ABG115" s="4"/>
      <c r="ABH115" s="4"/>
      <c r="ABI115" s="4"/>
      <c r="ABJ115" s="4"/>
      <c r="ABK115" s="4"/>
      <c r="ABL115" s="4"/>
      <c r="ABM115" s="4"/>
      <c r="ABN115" s="4"/>
      <c r="ABO115" s="4"/>
      <c r="ABP115" s="4"/>
      <c r="ABQ115" s="4"/>
      <c r="ABR115" s="4"/>
      <c r="ABS115" s="4"/>
      <c r="ABT115" s="4"/>
      <c r="ABU115" s="4"/>
      <c r="ABV115" s="4"/>
      <c r="ABW115" s="4"/>
      <c r="ABX115" s="4"/>
      <c r="ABY115" s="4"/>
      <c r="ABZ115" s="4"/>
      <c r="ACA115" s="4"/>
      <c r="ACB115" s="4"/>
      <c r="ACC115" s="4"/>
      <c r="ACD115" s="4"/>
      <c r="ACE115" s="4"/>
      <c r="ACF115" s="4"/>
      <c r="ACG115" s="4"/>
      <c r="ACH115" s="4"/>
      <c r="ACI115" s="4"/>
      <c r="ACJ115" s="4"/>
      <c r="ACK115" s="4"/>
      <c r="ACL115" s="4"/>
      <c r="ACM115" s="4"/>
      <c r="ACN115" s="4"/>
      <c r="ACO115" s="4"/>
      <c r="ACP115" s="4"/>
      <c r="ACQ115" s="4"/>
      <c r="ACR115" s="4"/>
      <c r="ACS115" s="4"/>
      <c r="ACT115" s="4"/>
      <c r="ACU115" s="4"/>
      <c r="ACV115" s="4"/>
      <c r="ACW115" s="4"/>
      <c r="ACX115" s="4"/>
      <c r="ACY115" s="4"/>
      <c r="ACZ115" s="4"/>
      <c r="ADA115" s="4"/>
      <c r="ADB115" s="4"/>
      <c r="ADC115" s="4"/>
      <c r="ADD115" s="4"/>
      <c r="ADE115" s="4"/>
      <c r="ADF115" s="4"/>
      <c r="ADG115" s="4"/>
      <c r="ADH115" s="4"/>
      <c r="ADI115" s="4"/>
      <c r="ADJ115" s="4"/>
      <c r="ADK115" s="4"/>
      <c r="ADL115" s="4"/>
      <c r="ADM115" s="4"/>
      <c r="ADN115" s="4"/>
      <c r="ADO115" s="4"/>
      <c r="ADP115" s="4"/>
      <c r="ADQ115" s="4"/>
      <c r="ADR115" s="4"/>
      <c r="ADS115" s="4"/>
      <c r="ADT115" s="4"/>
      <c r="ADU115" s="4"/>
      <c r="ADV115" s="4"/>
      <c r="ADW115" s="4"/>
      <c r="ADX115" s="4"/>
      <c r="ADY115" s="4"/>
      <c r="ADZ115" s="4"/>
      <c r="AEA115" s="4"/>
      <c r="AEB115" s="4"/>
      <c r="AEC115" s="4"/>
      <c r="AED115" s="4"/>
      <c r="AEE115" s="4"/>
      <c r="AEF115" s="4"/>
      <c r="AEG115" s="4"/>
      <c r="AEH115" s="4"/>
      <c r="AEI115" s="4"/>
      <c r="AEJ115" s="4"/>
      <c r="AEK115" s="4"/>
      <c r="AEL115" s="4"/>
      <c r="AEM115" s="4"/>
      <c r="AEN115" s="4"/>
      <c r="AEO115" s="4"/>
      <c r="AEP115" s="4"/>
      <c r="AEQ115" s="4"/>
      <c r="AER115" s="4"/>
      <c r="AES115" s="4"/>
      <c r="AET115" s="4"/>
      <c r="AEU115" s="4"/>
      <c r="AEV115" s="4"/>
      <c r="AEW115" s="4"/>
      <c r="AEX115" s="4"/>
      <c r="AEY115" s="4"/>
      <c r="AEZ115" s="4"/>
      <c r="AFA115" s="4"/>
      <c r="AFB115" s="4"/>
      <c r="AFC115" s="4"/>
      <c r="AFD115" s="4"/>
      <c r="AFE115" s="4"/>
      <c r="AFF115" s="4"/>
      <c r="AFG115" s="4"/>
      <c r="AFH115" s="4"/>
      <c r="AFI115" s="4"/>
      <c r="AFJ115" s="4"/>
      <c r="AFK115" s="4"/>
      <c r="AFL115" s="4"/>
      <c r="AFM115" s="4"/>
      <c r="AFN115" s="4"/>
      <c r="AFO115" s="4"/>
      <c r="AFP115" s="4"/>
      <c r="AFQ115" s="4"/>
      <c r="AFR115" s="4"/>
      <c r="AFS115" s="4"/>
      <c r="AFT115" s="4"/>
      <c r="AFU115" s="4"/>
      <c r="AFV115" s="4"/>
      <c r="AFW115" s="4"/>
      <c r="AFX115" s="4"/>
      <c r="AFY115" s="4"/>
      <c r="AFZ115" s="4"/>
      <c r="AGA115" s="4"/>
      <c r="AGB115" s="4"/>
      <c r="AGC115" s="4"/>
      <c r="AGD115" s="4"/>
      <c r="AGE115" s="4"/>
      <c r="AGF115" s="4"/>
      <c r="AGG115" s="4"/>
      <c r="AGH115" s="4"/>
      <c r="AGI115" s="4"/>
      <c r="AGJ115" s="4"/>
      <c r="AGK115" s="4"/>
      <c r="AGL115" s="4"/>
      <c r="AGM115" s="4"/>
      <c r="AGN115" s="4"/>
      <c r="AGO115" s="4"/>
      <c r="AGP115" s="4"/>
      <c r="AGQ115" s="4"/>
      <c r="AGR115" s="4"/>
      <c r="AGS115" s="4"/>
      <c r="AGT115" s="4"/>
      <c r="AGU115" s="4"/>
      <c r="AGV115" s="4"/>
      <c r="AGW115" s="4"/>
      <c r="AGX115" s="4"/>
      <c r="AGY115" s="4"/>
      <c r="AGZ115" s="4"/>
      <c r="AHA115" s="4"/>
      <c r="AHB115" s="4"/>
      <c r="AHC115" s="4"/>
      <c r="AHD115" s="4"/>
      <c r="AHE115" s="4"/>
      <c r="AHF115" s="4"/>
      <c r="AHG115" s="4"/>
      <c r="AHH115" s="4"/>
      <c r="AHI115" s="4"/>
      <c r="AHJ115" s="4"/>
      <c r="AHK115" s="4"/>
      <c r="AHL115" s="4"/>
      <c r="AHM115" s="4"/>
      <c r="AHN115" s="4"/>
      <c r="AHO115" s="4"/>
      <c r="AHP115" s="4"/>
      <c r="AHQ115" s="4"/>
      <c r="AHR115" s="4"/>
      <c r="AHS115" s="4"/>
      <c r="AHT115" s="4"/>
      <c r="AHU115" s="4"/>
      <c r="AHV115" s="4"/>
      <c r="AHW115" s="4"/>
      <c r="AHX115" s="4"/>
      <c r="AHY115" s="4"/>
      <c r="AHZ115" s="4"/>
      <c r="AIA115" s="4"/>
      <c r="AIB115" s="4"/>
      <c r="AIC115" s="4"/>
      <c r="AID115" s="4"/>
      <c r="AIE115" s="4"/>
      <c r="AIF115" s="4"/>
      <c r="AIG115" s="4"/>
      <c r="AIH115" s="4"/>
      <c r="AII115" s="4"/>
      <c r="AIJ115" s="4"/>
      <c r="AIK115" s="4"/>
      <c r="AIL115" s="4"/>
      <c r="AIM115" s="4"/>
      <c r="AIN115" s="4"/>
      <c r="AIO115" s="4"/>
      <c r="AIP115" s="4"/>
      <c r="AIQ115" s="4"/>
      <c r="AIR115" s="4"/>
      <c r="AIS115" s="4"/>
      <c r="AIT115" s="4"/>
      <c r="AIU115" s="4"/>
      <c r="AIV115" s="4"/>
      <c r="AIW115" s="4"/>
      <c r="AIX115" s="4"/>
      <c r="AIY115" s="4"/>
      <c r="AIZ115" s="4"/>
      <c r="AJA115" s="4"/>
      <c r="AJB115" s="4"/>
      <c r="AJC115" s="4"/>
      <c r="AJD115" s="4"/>
      <c r="AJE115" s="4"/>
      <c r="AJF115" s="4"/>
      <c r="AJG115" s="4"/>
      <c r="AJH115" s="4"/>
      <c r="AJI115" s="4"/>
      <c r="AJJ115" s="4"/>
      <c r="AJK115" s="4"/>
      <c r="AJL115" s="4"/>
      <c r="AJM115" s="4"/>
      <c r="AJN115" s="4"/>
      <c r="AJO115" s="4"/>
      <c r="AJP115" s="4"/>
      <c r="AJQ115" s="4"/>
      <c r="AJR115" s="4"/>
      <c r="AJS115" s="4"/>
      <c r="AJT115" s="4"/>
      <c r="AJU115" s="4"/>
      <c r="AJV115" s="4"/>
      <c r="AJW115" s="4"/>
      <c r="AJX115" s="4"/>
      <c r="AJY115" s="4"/>
      <c r="AJZ115" s="4"/>
      <c r="AKA115" s="4"/>
      <c r="AKB115" s="4"/>
      <c r="AKC115" s="4"/>
      <c r="AKD115" s="4"/>
      <c r="AKE115" s="4"/>
      <c r="AKF115" s="4"/>
      <c r="AKG115" s="4"/>
      <c r="AKH115" s="4"/>
      <c r="AKI115" s="4"/>
      <c r="AKJ115" s="4"/>
      <c r="AKK115" s="4"/>
      <c r="AKL115" s="4"/>
      <c r="AKM115" s="4"/>
      <c r="AKN115" s="4"/>
      <c r="AKO115" s="4"/>
      <c r="AKP115" s="4"/>
      <c r="AKQ115" s="4"/>
      <c r="AKR115" s="4"/>
      <c r="AKS115" s="4"/>
      <c r="AKT115" s="4"/>
      <c r="AKU115" s="4"/>
      <c r="AKV115" s="4"/>
      <c r="AKW115" s="4"/>
      <c r="AKX115" s="4"/>
      <c r="AKY115" s="4"/>
      <c r="AKZ115" s="4"/>
      <c r="ALA115" s="4"/>
      <c r="ALB115" s="4"/>
      <c r="ALC115" s="4"/>
      <c r="ALD115" s="4"/>
      <c r="ALE115" s="4"/>
      <c r="ALF115" s="4"/>
      <c r="ALG115" s="4"/>
      <c r="ALH115" s="4"/>
      <c r="ALI115" s="4"/>
      <c r="ALJ115" s="4"/>
      <c r="ALK115" s="4"/>
      <c r="ALL115" s="4"/>
      <c r="ALM115" s="4"/>
      <c r="ALN115" s="4"/>
      <c r="ALO115" s="4"/>
      <c r="ALP115" s="4"/>
      <c r="ALQ115" s="4"/>
      <c r="ALR115" s="4"/>
    </row>
    <row r="116" spans="1:1006" x14ac:dyDescent="0.25">
      <c r="A116" s="171" t="s">
        <v>282</v>
      </c>
      <c r="B116" s="48" t="s">
        <v>295</v>
      </c>
      <c r="C116" s="123" t="s">
        <v>625</v>
      </c>
      <c r="D116" s="81" t="s">
        <v>293</v>
      </c>
      <c r="E116" s="49" t="s">
        <v>38</v>
      </c>
      <c r="F116" s="49" t="s">
        <v>34</v>
      </c>
      <c r="G116" s="57" t="s">
        <v>34</v>
      </c>
      <c r="H116" s="49" t="s">
        <v>431</v>
      </c>
      <c r="I116" s="52" t="s">
        <v>34</v>
      </c>
      <c r="J116" s="53">
        <v>999</v>
      </c>
      <c r="K116" s="54">
        <v>46037</v>
      </c>
      <c r="L116" s="49" t="s">
        <v>32</v>
      </c>
      <c r="M116" s="55" t="s">
        <v>34</v>
      </c>
      <c r="N116" s="53">
        <v>300</v>
      </c>
      <c r="O116" s="54">
        <v>46052</v>
      </c>
      <c r="P116" s="49" t="s">
        <v>32</v>
      </c>
      <c r="Q116" s="55" t="s">
        <v>296</v>
      </c>
      <c r="R116" s="53">
        <v>1399.33</v>
      </c>
      <c r="S116" s="54">
        <v>46038</v>
      </c>
      <c r="T116" s="49" t="s">
        <v>32</v>
      </c>
      <c r="U116" s="53">
        <v>2702.75</v>
      </c>
      <c r="V116" s="54">
        <v>46053</v>
      </c>
      <c r="W116" s="49" t="s">
        <v>32</v>
      </c>
      <c r="X116" s="56" t="s">
        <v>34</v>
      </c>
      <c r="Y116" s="49" t="s">
        <v>34</v>
      </c>
      <c r="Z116" s="53"/>
      <c r="AA116" s="172" t="s">
        <v>40</v>
      </c>
      <c r="AB116" s="6"/>
      <c r="AC116" s="5"/>
      <c r="AD116" s="5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/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  <c r="ADQ116" s="4"/>
      <c r="ADR116" s="4"/>
      <c r="ADS116" s="4"/>
      <c r="ADT116" s="4"/>
      <c r="ADU116" s="4"/>
      <c r="ADV116" s="4"/>
      <c r="ADW116" s="4"/>
      <c r="ADX116" s="4"/>
      <c r="ADY116" s="4"/>
      <c r="ADZ116" s="4"/>
      <c r="AEA116" s="4"/>
      <c r="AEB116" s="4"/>
      <c r="AEC116" s="4"/>
      <c r="AED116" s="4"/>
      <c r="AEE116" s="4"/>
      <c r="AEF116" s="4"/>
      <c r="AEG116" s="4"/>
      <c r="AEH116" s="4"/>
      <c r="AEI116" s="4"/>
      <c r="AEJ116" s="4"/>
      <c r="AEK116" s="4"/>
      <c r="AEL116" s="4"/>
      <c r="AEM116" s="4"/>
      <c r="AEN116" s="4"/>
      <c r="AEO116" s="4"/>
      <c r="AEP116" s="4"/>
      <c r="AEQ116" s="4"/>
      <c r="AER116" s="4"/>
      <c r="AES116" s="4"/>
      <c r="AET116" s="4"/>
      <c r="AEU116" s="4"/>
      <c r="AEV116" s="4"/>
      <c r="AEW116" s="4"/>
      <c r="AEX116" s="4"/>
      <c r="AEY116" s="4"/>
      <c r="AEZ116" s="4"/>
      <c r="AFA116" s="4"/>
      <c r="AFB116" s="4"/>
      <c r="AFC116" s="4"/>
      <c r="AFD116" s="4"/>
      <c r="AFE116" s="4"/>
      <c r="AFF116" s="4"/>
      <c r="AFG116" s="4"/>
      <c r="AFH116" s="4"/>
      <c r="AFI116" s="4"/>
      <c r="AFJ116" s="4"/>
      <c r="AFK116" s="4"/>
      <c r="AFL116" s="4"/>
      <c r="AFM116" s="4"/>
      <c r="AFN116" s="4"/>
      <c r="AFO116" s="4"/>
      <c r="AFP116" s="4"/>
      <c r="AFQ116" s="4"/>
      <c r="AFR116" s="4"/>
      <c r="AFS116" s="4"/>
      <c r="AFT116" s="4"/>
      <c r="AFU116" s="4"/>
      <c r="AFV116" s="4"/>
      <c r="AFW116" s="4"/>
      <c r="AFX116" s="4"/>
      <c r="AFY116" s="4"/>
      <c r="AFZ116" s="4"/>
      <c r="AGA116" s="4"/>
      <c r="AGB116" s="4"/>
      <c r="AGC116" s="4"/>
      <c r="AGD116" s="4"/>
      <c r="AGE116" s="4"/>
      <c r="AGF116" s="4"/>
      <c r="AGG116" s="4"/>
      <c r="AGH116" s="4"/>
      <c r="AGI116" s="4"/>
      <c r="AGJ116" s="4"/>
      <c r="AGK116" s="4"/>
      <c r="AGL116" s="4"/>
      <c r="AGM116" s="4"/>
      <c r="AGN116" s="4"/>
      <c r="AGO116" s="4"/>
      <c r="AGP116" s="4"/>
      <c r="AGQ116" s="4"/>
      <c r="AGR116" s="4"/>
      <c r="AGS116" s="4"/>
      <c r="AGT116" s="4"/>
      <c r="AGU116" s="4"/>
      <c r="AGV116" s="4"/>
      <c r="AGW116" s="4"/>
      <c r="AGX116" s="4"/>
      <c r="AGY116" s="4"/>
      <c r="AGZ116" s="4"/>
      <c r="AHA116" s="4"/>
      <c r="AHB116" s="4"/>
      <c r="AHC116" s="4"/>
      <c r="AHD116" s="4"/>
      <c r="AHE116" s="4"/>
      <c r="AHF116" s="4"/>
      <c r="AHG116" s="4"/>
      <c r="AHH116" s="4"/>
      <c r="AHI116" s="4"/>
      <c r="AHJ116" s="4"/>
      <c r="AHK116" s="4"/>
      <c r="AHL116" s="4"/>
      <c r="AHM116" s="4"/>
      <c r="AHN116" s="4"/>
      <c r="AHO116" s="4"/>
      <c r="AHP116" s="4"/>
      <c r="AHQ116" s="4"/>
      <c r="AHR116" s="4"/>
      <c r="AHS116" s="4"/>
      <c r="AHT116" s="4"/>
      <c r="AHU116" s="4"/>
      <c r="AHV116" s="4"/>
      <c r="AHW116" s="4"/>
      <c r="AHX116" s="4"/>
      <c r="AHY116" s="4"/>
      <c r="AHZ116" s="4"/>
      <c r="AIA116" s="4"/>
      <c r="AIB116" s="4"/>
      <c r="AIC116" s="4"/>
      <c r="AID116" s="4"/>
      <c r="AIE116" s="4"/>
      <c r="AIF116" s="4"/>
      <c r="AIG116" s="4"/>
      <c r="AIH116" s="4"/>
      <c r="AII116" s="4"/>
      <c r="AIJ116" s="4"/>
      <c r="AIK116" s="4"/>
      <c r="AIL116" s="4"/>
      <c r="AIM116" s="4"/>
      <c r="AIN116" s="4"/>
      <c r="AIO116" s="4"/>
      <c r="AIP116" s="4"/>
      <c r="AIQ116" s="4"/>
      <c r="AIR116" s="4"/>
      <c r="AIS116" s="4"/>
      <c r="AIT116" s="4"/>
      <c r="AIU116" s="4"/>
      <c r="AIV116" s="4"/>
      <c r="AIW116" s="4"/>
      <c r="AIX116" s="4"/>
      <c r="AIY116" s="4"/>
      <c r="AIZ116" s="4"/>
      <c r="AJA116" s="4"/>
      <c r="AJB116" s="4"/>
      <c r="AJC116" s="4"/>
      <c r="AJD116" s="4"/>
      <c r="AJE116" s="4"/>
      <c r="AJF116" s="4"/>
      <c r="AJG116" s="4"/>
      <c r="AJH116" s="4"/>
      <c r="AJI116" s="4"/>
      <c r="AJJ116" s="4"/>
      <c r="AJK116" s="4"/>
      <c r="AJL116" s="4"/>
      <c r="AJM116" s="4"/>
      <c r="AJN116" s="4"/>
      <c r="AJO116" s="4"/>
      <c r="AJP116" s="4"/>
      <c r="AJQ116" s="4"/>
      <c r="AJR116" s="4"/>
      <c r="AJS116" s="4"/>
      <c r="AJT116" s="4"/>
      <c r="AJU116" s="4"/>
      <c r="AJV116" s="4"/>
      <c r="AJW116" s="4"/>
      <c r="AJX116" s="4"/>
      <c r="AJY116" s="4"/>
      <c r="AJZ116" s="4"/>
      <c r="AKA116" s="4"/>
      <c r="AKB116" s="4"/>
      <c r="AKC116" s="4"/>
      <c r="AKD116" s="4"/>
      <c r="AKE116" s="4"/>
      <c r="AKF116" s="4"/>
      <c r="AKG116" s="4"/>
      <c r="AKH116" s="4"/>
      <c r="AKI116" s="4"/>
      <c r="AKJ116" s="4"/>
      <c r="AKK116" s="4"/>
      <c r="AKL116" s="4"/>
      <c r="AKM116" s="4"/>
      <c r="AKN116" s="4"/>
      <c r="AKO116" s="4"/>
      <c r="AKP116" s="4"/>
      <c r="AKQ116" s="4"/>
      <c r="AKR116" s="4"/>
      <c r="AKS116" s="4"/>
      <c r="AKT116" s="4"/>
      <c r="AKU116" s="4"/>
      <c r="AKV116" s="4"/>
      <c r="AKW116" s="4"/>
      <c r="AKX116" s="4"/>
      <c r="AKY116" s="4"/>
      <c r="AKZ116" s="4"/>
      <c r="ALA116" s="4"/>
      <c r="ALB116" s="4"/>
      <c r="ALC116" s="4"/>
      <c r="ALD116" s="4"/>
      <c r="ALE116" s="4"/>
      <c r="ALF116" s="4"/>
      <c r="ALG116" s="4"/>
      <c r="ALH116" s="4"/>
      <c r="ALI116" s="4"/>
      <c r="ALJ116" s="4"/>
      <c r="ALK116" s="4"/>
      <c r="ALL116" s="4"/>
      <c r="ALM116" s="4"/>
      <c r="ALN116" s="4"/>
      <c r="ALO116" s="4"/>
      <c r="ALP116" s="4"/>
      <c r="ALQ116" s="4"/>
      <c r="ALR116" s="4"/>
    </row>
    <row r="117" spans="1:1006" x14ac:dyDescent="0.25">
      <c r="A117" s="174" t="s">
        <v>282</v>
      </c>
      <c r="B117" s="48" t="s">
        <v>297</v>
      </c>
      <c r="C117" s="123" t="s">
        <v>626</v>
      </c>
      <c r="D117" s="81" t="s">
        <v>293</v>
      </c>
      <c r="E117" s="55" t="s">
        <v>38</v>
      </c>
      <c r="F117" s="55" t="s">
        <v>34</v>
      </c>
      <c r="G117" s="58" t="s">
        <v>34</v>
      </c>
      <c r="H117" s="49" t="s">
        <v>431</v>
      </c>
      <c r="I117" s="52" t="s">
        <v>34</v>
      </c>
      <c r="J117" s="53">
        <v>999</v>
      </c>
      <c r="K117" s="54">
        <v>46037</v>
      </c>
      <c r="L117" s="49" t="s">
        <v>32</v>
      </c>
      <c r="M117" s="55" t="s">
        <v>34</v>
      </c>
      <c r="N117" s="53">
        <v>1200</v>
      </c>
      <c r="O117" s="54">
        <v>46052</v>
      </c>
      <c r="P117" s="49" t="s">
        <v>32</v>
      </c>
      <c r="Q117" s="55" t="s">
        <v>298</v>
      </c>
      <c r="R117" s="53">
        <v>1501.32</v>
      </c>
      <c r="S117" s="54">
        <v>46038</v>
      </c>
      <c r="T117" s="49" t="s">
        <v>32</v>
      </c>
      <c r="U117" s="53">
        <v>2702.75</v>
      </c>
      <c r="V117" s="54">
        <v>46053</v>
      </c>
      <c r="W117" s="49" t="s">
        <v>32</v>
      </c>
      <c r="X117" s="56" t="s">
        <v>34</v>
      </c>
      <c r="Y117" s="49" t="s">
        <v>34</v>
      </c>
      <c r="Z117" s="76"/>
      <c r="AA117" s="172" t="s">
        <v>40</v>
      </c>
      <c r="AB117" s="6"/>
      <c r="AC117" s="5"/>
      <c r="AD117" s="5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  <c r="UG117" s="4"/>
      <c r="UH117" s="4"/>
      <c r="UI117" s="4"/>
      <c r="UJ117" s="4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WP117" s="4"/>
      <c r="WQ117" s="4"/>
      <c r="WR117" s="4"/>
      <c r="WS117" s="4"/>
      <c r="WT117" s="4"/>
      <c r="WU117" s="4"/>
      <c r="WV117" s="4"/>
      <c r="WW117" s="4"/>
      <c r="WX117" s="4"/>
      <c r="WY117" s="4"/>
      <c r="WZ117" s="4"/>
      <c r="XA117" s="4"/>
      <c r="XB117" s="4"/>
      <c r="XC117" s="4"/>
      <c r="XD117" s="4"/>
      <c r="XE117" s="4"/>
      <c r="XF117" s="4"/>
      <c r="XG117" s="4"/>
      <c r="XH117" s="4"/>
      <c r="XI117" s="4"/>
      <c r="XJ117" s="4"/>
      <c r="XK117" s="4"/>
      <c r="XL117" s="4"/>
      <c r="XM117" s="4"/>
      <c r="XN117" s="4"/>
      <c r="XO117" s="4"/>
      <c r="XP117" s="4"/>
      <c r="XQ117" s="4"/>
      <c r="XR117" s="4"/>
      <c r="XS117" s="4"/>
      <c r="XT117" s="4"/>
      <c r="XU117" s="4"/>
      <c r="XV117" s="4"/>
      <c r="XW117" s="4"/>
      <c r="XX117" s="4"/>
      <c r="XY117" s="4"/>
      <c r="XZ117" s="4"/>
      <c r="YA117" s="4"/>
      <c r="YB117" s="4"/>
      <c r="YC117" s="4"/>
      <c r="YD117" s="4"/>
      <c r="YE117" s="4"/>
      <c r="YF117" s="4"/>
      <c r="YG117" s="4"/>
      <c r="YH117" s="4"/>
      <c r="YI117" s="4"/>
      <c r="YJ117" s="4"/>
      <c r="YK117" s="4"/>
      <c r="YL117" s="4"/>
      <c r="YM117" s="4"/>
      <c r="YN117" s="4"/>
      <c r="YO117" s="4"/>
      <c r="YP117" s="4"/>
      <c r="YQ117" s="4"/>
      <c r="YR117" s="4"/>
      <c r="YS117" s="4"/>
      <c r="YT117" s="4"/>
      <c r="YU117" s="4"/>
      <c r="YV117" s="4"/>
      <c r="YW117" s="4"/>
      <c r="YX117" s="4"/>
      <c r="YY117" s="4"/>
      <c r="YZ117" s="4"/>
      <c r="ZA117" s="4"/>
      <c r="ZB117" s="4"/>
      <c r="ZC117" s="4"/>
      <c r="ZD117" s="4"/>
      <c r="ZE117" s="4"/>
      <c r="ZF117" s="4"/>
      <c r="ZG117" s="4"/>
      <c r="ZH117" s="4"/>
      <c r="ZI117" s="4"/>
      <c r="ZJ117" s="4"/>
      <c r="ZK117" s="4"/>
      <c r="ZL117" s="4"/>
      <c r="ZM117" s="4"/>
      <c r="ZN117" s="4"/>
      <c r="ZO117" s="4"/>
      <c r="ZP117" s="4"/>
      <c r="ZQ117" s="4"/>
      <c r="ZR117" s="4"/>
      <c r="ZS117" s="4"/>
      <c r="ZT117" s="4"/>
      <c r="ZU117" s="4"/>
      <c r="ZV117" s="4"/>
      <c r="ZW117" s="4"/>
      <c r="ZX117" s="4"/>
      <c r="ZY117" s="4"/>
      <c r="ZZ117" s="4"/>
      <c r="AAA117" s="4"/>
      <c r="AAB117" s="4"/>
      <c r="AAC117" s="4"/>
      <c r="AAD117" s="4"/>
      <c r="AAE117" s="4"/>
      <c r="AAF117" s="4"/>
      <c r="AAG117" s="4"/>
      <c r="AAH117" s="4"/>
      <c r="AAI117" s="4"/>
      <c r="AAJ117" s="4"/>
      <c r="AAK117" s="4"/>
      <c r="AAL117" s="4"/>
      <c r="AAM117" s="4"/>
      <c r="AAN117" s="4"/>
      <c r="AAO117" s="4"/>
      <c r="AAP117" s="4"/>
      <c r="AAQ117" s="4"/>
      <c r="AAR117" s="4"/>
      <c r="AAS117" s="4"/>
      <c r="AAT117" s="4"/>
      <c r="AAU117" s="4"/>
      <c r="AAV117" s="4"/>
      <c r="AAW117" s="4"/>
      <c r="AAX117" s="4"/>
      <c r="AAY117" s="4"/>
      <c r="AAZ117" s="4"/>
      <c r="ABA117" s="4"/>
      <c r="ABB117" s="4"/>
      <c r="ABC117" s="4"/>
      <c r="ABD117" s="4"/>
      <c r="ABE117" s="4"/>
      <c r="ABF117" s="4"/>
      <c r="ABG117" s="4"/>
      <c r="ABH117" s="4"/>
      <c r="ABI117" s="4"/>
      <c r="ABJ117" s="4"/>
      <c r="ABK117" s="4"/>
      <c r="ABL117" s="4"/>
      <c r="ABM117" s="4"/>
      <c r="ABN117" s="4"/>
      <c r="ABO117" s="4"/>
      <c r="ABP117" s="4"/>
      <c r="ABQ117" s="4"/>
      <c r="ABR117" s="4"/>
      <c r="ABS117" s="4"/>
      <c r="ABT117" s="4"/>
      <c r="ABU117" s="4"/>
      <c r="ABV117" s="4"/>
      <c r="ABW117" s="4"/>
      <c r="ABX117" s="4"/>
      <c r="ABY117" s="4"/>
      <c r="ABZ117" s="4"/>
      <c r="ACA117" s="4"/>
      <c r="ACB117" s="4"/>
      <c r="ACC117" s="4"/>
      <c r="ACD117" s="4"/>
      <c r="ACE117" s="4"/>
      <c r="ACF117" s="4"/>
      <c r="ACG117" s="4"/>
      <c r="ACH117" s="4"/>
      <c r="ACI117" s="4"/>
      <c r="ACJ117" s="4"/>
      <c r="ACK117" s="4"/>
      <c r="ACL117" s="4"/>
      <c r="ACM117" s="4"/>
      <c r="ACN117" s="4"/>
      <c r="ACO117" s="4"/>
      <c r="ACP117" s="4"/>
      <c r="ACQ117" s="4"/>
      <c r="ACR117" s="4"/>
      <c r="ACS117" s="4"/>
      <c r="ACT117" s="4"/>
      <c r="ACU117" s="4"/>
      <c r="ACV117" s="4"/>
      <c r="ACW117" s="4"/>
      <c r="ACX117" s="4"/>
      <c r="ACY117" s="4"/>
      <c r="ACZ117" s="4"/>
      <c r="ADA117" s="4"/>
      <c r="ADB117" s="4"/>
      <c r="ADC117" s="4"/>
      <c r="ADD117" s="4"/>
      <c r="ADE117" s="4"/>
      <c r="ADF117" s="4"/>
      <c r="ADG117" s="4"/>
      <c r="ADH117" s="4"/>
      <c r="ADI117" s="4"/>
      <c r="ADJ117" s="4"/>
      <c r="ADK117" s="4"/>
      <c r="ADL117" s="4"/>
      <c r="ADM117" s="4"/>
      <c r="ADN117" s="4"/>
      <c r="ADO117" s="4"/>
      <c r="ADP117" s="4"/>
      <c r="ADQ117" s="4"/>
      <c r="ADR117" s="4"/>
      <c r="ADS117" s="4"/>
      <c r="ADT117" s="4"/>
      <c r="ADU117" s="4"/>
      <c r="ADV117" s="4"/>
      <c r="ADW117" s="4"/>
      <c r="ADX117" s="4"/>
      <c r="ADY117" s="4"/>
      <c r="ADZ117" s="4"/>
      <c r="AEA117" s="4"/>
      <c r="AEB117" s="4"/>
      <c r="AEC117" s="4"/>
      <c r="AED117" s="4"/>
      <c r="AEE117" s="4"/>
      <c r="AEF117" s="4"/>
      <c r="AEG117" s="4"/>
      <c r="AEH117" s="4"/>
      <c r="AEI117" s="4"/>
      <c r="AEJ117" s="4"/>
      <c r="AEK117" s="4"/>
      <c r="AEL117" s="4"/>
      <c r="AEM117" s="4"/>
      <c r="AEN117" s="4"/>
      <c r="AEO117" s="4"/>
      <c r="AEP117" s="4"/>
      <c r="AEQ117" s="4"/>
      <c r="AER117" s="4"/>
      <c r="AES117" s="4"/>
      <c r="AET117" s="4"/>
      <c r="AEU117" s="4"/>
      <c r="AEV117" s="4"/>
      <c r="AEW117" s="4"/>
      <c r="AEX117" s="4"/>
      <c r="AEY117" s="4"/>
      <c r="AEZ117" s="4"/>
      <c r="AFA117" s="4"/>
      <c r="AFB117" s="4"/>
      <c r="AFC117" s="4"/>
      <c r="AFD117" s="4"/>
      <c r="AFE117" s="4"/>
      <c r="AFF117" s="4"/>
      <c r="AFG117" s="4"/>
      <c r="AFH117" s="4"/>
      <c r="AFI117" s="4"/>
      <c r="AFJ117" s="4"/>
      <c r="AFK117" s="4"/>
      <c r="AFL117" s="4"/>
      <c r="AFM117" s="4"/>
      <c r="AFN117" s="4"/>
      <c r="AFO117" s="4"/>
      <c r="AFP117" s="4"/>
      <c r="AFQ117" s="4"/>
      <c r="AFR117" s="4"/>
      <c r="AFS117" s="4"/>
      <c r="AFT117" s="4"/>
      <c r="AFU117" s="4"/>
      <c r="AFV117" s="4"/>
      <c r="AFW117" s="4"/>
      <c r="AFX117" s="4"/>
      <c r="AFY117" s="4"/>
      <c r="AFZ117" s="4"/>
      <c r="AGA117" s="4"/>
      <c r="AGB117" s="4"/>
      <c r="AGC117" s="4"/>
      <c r="AGD117" s="4"/>
      <c r="AGE117" s="4"/>
      <c r="AGF117" s="4"/>
      <c r="AGG117" s="4"/>
      <c r="AGH117" s="4"/>
      <c r="AGI117" s="4"/>
      <c r="AGJ117" s="4"/>
      <c r="AGK117" s="4"/>
      <c r="AGL117" s="4"/>
      <c r="AGM117" s="4"/>
      <c r="AGN117" s="4"/>
      <c r="AGO117" s="4"/>
      <c r="AGP117" s="4"/>
      <c r="AGQ117" s="4"/>
      <c r="AGR117" s="4"/>
      <c r="AGS117" s="4"/>
      <c r="AGT117" s="4"/>
      <c r="AGU117" s="4"/>
      <c r="AGV117" s="4"/>
      <c r="AGW117" s="4"/>
      <c r="AGX117" s="4"/>
      <c r="AGY117" s="4"/>
      <c r="AGZ117" s="4"/>
      <c r="AHA117" s="4"/>
      <c r="AHB117" s="4"/>
      <c r="AHC117" s="4"/>
      <c r="AHD117" s="4"/>
      <c r="AHE117" s="4"/>
      <c r="AHF117" s="4"/>
      <c r="AHG117" s="4"/>
      <c r="AHH117" s="4"/>
      <c r="AHI117" s="4"/>
      <c r="AHJ117" s="4"/>
      <c r="AHK117" s="4"/>
      <c r="AHL117" s="4"/>
      <c r="AHM117" s="4"/>
      <c r="AHN117" s="4"/>
      <c r="AHO117" s="4"/>
      <c r="AHP117" s="4"/>
      <c r="AHQ117" s="4"/>
      <c r="AHR117" s="4"/>
      <c r="AHS117" s="4"/>
      <c r="AHT117" s="4"/>
      <c r="AHU117" s="4"/>
      <c r="AHV117" s="4"/>
      <c r="AHW117" s="4"/>
      <c r="AHX117" s="4"/>
      <c r="AHY117" s="4"/>
      <c r="AHZ117" s="4"/>
      <c r="AIA117" s="4"/>
      <c r="AIB117" s="4"/>
      <c r="AIC117" s="4"/>
      <c r="AID117" s="4"/>
      <c r="AIE117" s="4"/>
      <c r="AIF117" s="4"/>
      <c r="AIG117" s="4"/>
      <c r="AIH117" s="4"/>
      <c r="AII117" s="4"/>
      <c r="AIJ117" s="4"/>
      <c r="AIK117" s="4"/>
      <c r="AIL117" s="4"/>
      <c r="AIM117" s="4"/>
      <c r="AIN117" s="4"/>
      <c r="AIO117" s="4"/>
      <c r="AIP117" s="4"/>
      <c r="AIQ117" s="4"/>
      <c r="AIR117" s="4"/>
      <c r="AIS117" s="4"/>
      <c r="AIT117" s="4"/>
      <c r="AIU117" s="4"/>
      <c r="AIV117" s="4"/>
      <c r="AIW117" s="4"/>
      <c r="AIX117" s="4"/>
      <c r="AIY117" s="4"/>
      <c r="AIZ117" s="4"/>
      <c r="AJA117" s="4"/>
      <c r="AJB117" s="4"/>
      <c r="AJC117" s="4"/>
      <c r="AJD117" s="4"/>
      <c r="AJE117" s="4"/>
      <c r="AJF117" s="4"/>
      <c r="AJG117" s="4"/>
      <c r="AJH117" s="4"/>
      <c r="AJI117" s="4"/>
      <c r="AJJ117" s="4"/>
      <c r="AJK117" s="4"/>
      <c r="AJL117" s="4"/>
      <c r="AJM117" s="4"/>
      <c r="AJN117" s="4"/>
      <c r="AJO117" s="4"/>
      <c r="AJP117" s="4"/>
      <c r="AJQ117" s="4"/>
      <c r="AJR117" s="4"/>
      <c r="AJS117" s="4"/>
      <c r="AJT117" s="4"/>
      <c r="AJU117" s="4"/>
      <c r="AJV117" s="4"/>
      <c r="AJW117" s="4"/>
      <c r="AJX117" s="4"/>
      <c r="AJY117" s="4"/>
      <c r="AJZ117" s="4"/>
      <c r="AKA117" s="4"/>
      <c r="AKB117" s="4"/>
      <c r="AKC117" s="4"/>
      <c r="AKD117" s="4"/>
      <c r="AKE117" s="4"/>
      <c r="AKF117" s="4"/>
      <c r="AKG117" s="4"/>
      <c r="AKH117" s="4"/>
      <c r="AKI117" s="4"/>
      <c r="AKJ117" s="4"/>
      <c r="AKK117" s="4"/>
      <c r="AKL117" s="4"/>
      <c r="AKM117" s="4"/>
      <c r="AKN117" s="4"/>
      <c r="AKO117" s="4"/>
      <c r="AKP117" s="4"/>
      <c r="AKQ117" s="4"/>
      <c r="AKR117" s="4"/>
      <c r="AKS117" s="4"/>
      <c r="AKT117" s="4"/>
      <c r="AKU117" s="4"/>
      <c r="AKV117" s="4"/>
      <c r="AKW117" s="4"/>
      <c r="AKX117" s="4"/>
      <c r="AKY117" s="4"/>
      <c r="AKZ117" s="4"/>
      <c r="ALA117" s="4"/>
      <c r="ALB117" s="4"/>
      <c r="ALC117" s="4"/>
      <c r="ALD117" s="4"/>
      <c r="ALE117" s="4"/>
      <c r="ALF117" s="4"/>
      <c r="ALG117" s="4"/>
      <c r="ALH117" s="4"/>
      <c r="ALI117" s="4"/>
      <c r="ALJ117" s="4"/>
      <c r="ALK117" s="4"/>
      <c r="ALL117" s="4"/>
      <c r="ALM117" s="4"/>
      <c r="ALN117" s="4"/>
      <c r="ALO117" s="4"/>
      <c r="ALP117" s="4"/>
      <c r="ALQ117" s="4"/>
      <c r="ALR117" s="4"/>
    </row>
    <row r="118" spans="1:1006" x14ac:dyDescent="0.25">
      <c r="A118" s="171" t="s">
        <v>282</v>
      </c>
      <c r="B118" s="55" t="s">
        <v>299</v>
      </c>
      <c r="C118" s="123" t="s">
        <v>627</v>
      </c>
      <c r="D118" s="81" t="s">
        <v>293</v>
      </c>
      <c r="E118" s="49" t="s">
        <v>38</v>
      </c>
      <c r="F118" s="49" t="s">
        <v>34</v>
      </c>
      <c r="G118" s="57" t="s">
        <v>34</v>
      </c>
      <c r="H118" s="49" t="s">
        <v>300</v>
      </c>
      <c r="I118" s="52" t="s">
        <v>34</v>
      </c>
      <c r="J118" s="53">
        <v>0</v>
      </c>
      <c r="K118" s="54" t="s">
        <v>34</v>
      </c>
      <c r="L118" s="49" t="s">
        <v>34</v>
      </c>
      <c r="M118" s="55" t="s">
        <v>34</v>
      </c>
      <c r="N118" s="53">
        <v>300</v>
      </c>
      <c r="O118" s="54">
        <v>46052</v>
      </c>
      <c r="P118" s="49" t="s">
        <v>32</v>
      </c>
      <c r="Q118" s="55" t="s">
        <v>301</v>
      </c>
      <c r="R118" s="53">
        <v>1625.94</v>
      </c>
      <c r="S118" s="54">
        <v>46038</v>
      </c>
      <c r="T118" s="49" t="s">
        <v>32</v>
      </c>
      <c r="U118" s="53">
        <v>2702.75</v>
      </c>
      <c r="V118" s="54">
        <v>46053</v>
      </c>
      <c r="W118" s="49" t="s">
        <v>32</v>
      </c>
      <c r="X118" s="56" t="s">
        <v>34</v>
      </c>
      <c r="Y118" s="49" t="s">
        <v>34</v>
      </c>
      <c r="Z118" s="53"/>
      <c r="AA118" s="172" t="s">
        <v>35</v>
      </c>
      <c r="AB118" s="6"/>
      <c r="AC118" s="5"/>
      <c r="AD118" s="5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  <c r="ZN118" s="4"/>
      <c r="ZO118" s="4"/>
      <c r="ZP118" s="4"/>
      <c r="ZQ118" s="4"/>
      <c r="ZR118" s="4"/>
      <c r="ZS118" s="4"/>
      <c r="ZT118" s="4"/>
      <c r="ZU118" s="4"/>
      <c r="ZV118" s="4"/>
      <c r="ZW118" s="4"/>
      <c r="ZX118" s="4"/>
      <c r="ZY118" s="4"/>
      <c r="ZZ118" s="4"/>
      <c r="AAA118" s="4"/>
      <c r="AAB118" s="4"/>
      <c r="AAC118" s="4"/>
      <c r="AAD118" s="4"/>
      <c r="AAE118" s="4"/>
      <c r="AAF118" s="4"/>
      <c r="AAG118" s="4"/>
      <c r="AAH118" s="4"/>
      <c r="AAI118" s="4"/>
      <c r="AAJ118" s="4"/>
      <c r="AAK118" s="4"/>
      <c r="AAL118" s="4"/>
      <c r="AAM118" s="4"/>
      <c r="AAN118" s="4"/>
      <c r="AAO118" s="4"/>
      <c r="AAP118" s="4"/>
      <c r="AAQ118" s="4"/>
      <c r="AAR118" s="4"/>
      <c r="AAS118" s="4"/>
      <c r="AAT118" s="4"/>
      <c r="AAU118" s="4"/>
      <c r="AAV118" s="4"/>
      <c r="AAW118" s="4"/>
      <c r="AAX118" s="4"/>
      <c r="AAY118" s="4"/>
      <c r="AAZ118" s="4"/>
      <c r="ABA118" s="4"/>
      <c r="ABB118" s="4"/>
      <c r="ABC118" s="4"/>
      <c r="ABD118" s="4"/>
      <c r="ABE118" s="4"/>
      <c r="ABF118" s="4"/>
      <c r="ABG118" s="4"/>
      <c r="ABH118" s="4"/>
      <c r="ABI118" s="4"/>
      <c r="ABJ118" s="4"/>
      <c r="ABK118" s="4"/>
      <c r="ABL118" s="4"/>
      <c r="ABM118" s="4"/>
      <c r="ABN118" s="4"/>
      <c r="ABO118" s="4"/>
      <c r="ABP118" s="4"/>
      <c r="ABQ118" s="4"/>
      <c r="ABR118" s="4"/>
      <c r="ABS118" s="4"/>
      <c r="ABT118" s="4"/>
      <c r="ABU118" s="4"/>
      <c r="ABV118" s="4"/>
      <c r="ABW118" s="4"/>
      <c r="ABX118" s="4"/>
      <c r="ABY118" s="4"/>
      <c r="ABZ118" s="4"/>
      <c r="ACA118" s="4"/>
      <c r="ACB118" s="4"/>
      <c r="ACC118" s="4"/>
      <c r="ACD118" s="4"/>
      <c r="ACE118" s="4"/>
      <c r="ACF118" s="4"/>
      <c r="ACG118" s="4"/>
      <c r="ACH118" s="4"/>
      <c r="ACI118" s="4"/>
      <c r="ACJ118" s="4"/>
      <c r="ACK118" s="4"/>
      <c r="ACL118" s="4"/>
      <c r="ACM118" s="4"/>
      <c r="ACN118" s="4"/>
      <c r="ACO118" s="4"/>
      <c r="ACP118" s="4"/>
      <c r="ACQ118" s="4"/>
      <c r="ACR118" s="4"/>
      <c r="ACS118" s="4"/>
      <c r="ACT118" s="4"/>
      <c r="ACU118" s="4"/>
      <c r="ACV118" s="4"/>
      <c r="ACW118" s="4"/>
      <c r="ACX118" s="4"/>
      <c r="ACY118" s="4"/>
      <c r="ACZ118" s="4"/>
      <c r="ADA118" s="4"/>
      <c r="ADB118" s="4"/>
      <c r="ADC118" s="4"/>
      <c r="ADD118" s="4"/>
      <c r="ADE118" s="4"/>
      <c r="ADF118" s="4"/>
      <c r="ADG118" s="4"/>
      <c r="ADH118" s="4"/>
      <c r="ADI118" s="4"/>
      <c r="ADJ118" s="4"/>
      <c r="ADK118" s="4"/>
      <c r="ADL118" s="4"/>
      <c r="ADM118" s="4"/>
      <c r="ADN118" s="4"/>
      <c r="ADO118" s="4"/>
      <c r="ADP118" s="4"/>
      <c r="ADQ118" s="4"/>
      <c r="ADR118" s="4"/>
      <c r="ADS118" s="4"/>
      <c r="ADT118" s="4"/>
      <c r="ADU118" s="4"/>
      <c r="ADV118" s="4"/>
      <c r="ADW118" s="4"/>
      <c r="ADX118" s="4"/>
      <c r="ADY118" s="4"/>
      <c r="ADZ118" s="4"/>
      <c r="AEA118" s="4"/>
      <c r="AEB118" s="4"/>
      <c r="AEC118" s="4"/>
      <c r="AED118" s="4"/>
      <c r="AEE118" s="4"/>
      <c r="AEF118" s="4"/>
      <c r="AEG118" s="4"/>
      <c r="AEH118" s="4"/>
      <c r="AEI118" s="4"/>
      <c r="AEJ118" s="4"/>
      <c r="AEK118" s="4"/>
      <c r="AEL118" s="4"/>
      <c r="AEM118" s="4"/>
      <c r="AEN118" s="4"/>
      <c r="AEO118" s="4"/>
      <c r="AEP118" s="4"/>
      <c r="AEQ118" s="4"/>
      <c r="AER118" s="4"/>
      <c r="AES118" s="4"/>
      <c r="AET118" s="4"/>
      <c r="AEU118" s="4"/>
      <c r="AEV118" s="4"/>
      <c r="AEW118" s="4"/>
      <c r="AEX118" s="4"/>
      <c r="AEY118" s="4"/>
      <c r="AEZ118" s="4"/>
      <c r="AFA118" s="4"/>
      <c r="AFB118" s="4"/>
      <c r="AFC118" s="4"/>
      <c r="AFD118" s="4"/>
      <c r="AFE118" s="4"/>
      <c r="AFF118" s="4"/>
      <c r="AFG118" s="4"/>
      <c r="AFH118" s="4"/>
      <c r="AFI118" s="4"/>
      <c r="AFJ118" s="4"/>
      <c r="AFK118" s="4"/>
      <c r="AFL118" s="4"/>
      <c r="AFM118" s="4"/>
      <c r="AFN118" s="4"/>
      <c r="AFO118" s="4"/>
      <c r="AFP118" s="4"/>
      <c r="AFQ118" s="4"/>
      <c r="AFR118" s="4"/>
      <c r="AFS118" s="4"/>
      <c r="AFT118" s="4"/>
      <c r="AFU118" s="4"/>
      <c r="AFV118" s="4"/>
      <c r="AFW118" s="4"/>
      <c r="AFX118" s="4"/>
      <c r="AFY118" s="4"/>
      <c r="AFZ118" s="4"/>
      <c r="AGA118" s="4"/>
      <c r="AGB118" s="4"/>
      <c r="AGC118" s="4"/>
      <c r="AGD118" s="4"/>
      <c r="AGE118" s="4"/>
      <c r="AGF118" s="4"/>
      <c r="AGG118" s="4"/>
      <c r="AGH118" s="4"/>
      <c r="AGI118" s="4"/>
      <c r="AGJ118" s="4"/>
      <c r="AGK118" s="4"/>
      <c r="AGL118" s="4"/>
      <c r="AGM118" s="4"/>
      <c r="AGN118" s="4"/>
      <c r="AGO118" s="4"/>
      <c r="AGP118" s="4"/>
      <c r="AGQ118" s="4"/>
      <c r="AGR118" s="4"/>
      <c r="AGS118" s="4"/>
      <c r="AGT118" s="4"/>
      <c r="AGU118" s="4"/>
      <c r="AGV118" s="4"/>
      <c r="AGW118" s="4"/>
      <c r="AGX118" s="4"/>
      <c r="AGY118" s="4"/>
      <c r="AGZ118" s="4"/>
      <c r="AHA118" s="4"/>
      <c r="AHB118" s="4"/>
      <c r="AHC118" s="4"/>
      <c r="AHD118" s="4"/>
      <c r="AHE118" s="4"/>
      <c r="AHF118" s="4"/>
      <c r="AHG118" s="4"/>
      <c r="AHH118" s="4"/>
      <c r="AHI118" s="4"/>
      <c r="AHJ118" s="4"/>
      <c r="AHK118" s="4"/>
      <c r="AHL118" s="4"/>
      <c r="AHM118" s="4"/>
      <c r="AHN118" s="4"/>
      <c r="AHO118" s="4"/>
      <c r="AHP118" s="4"/>
      <c r="AHQ118" s="4"/>
      <c r="AHR118" s="4"/>
      <c r="AHS118" s="4"/>
      <c r="AHT118" s="4"/>
      <c r="AHU118" s="4"/>
      <c r="AHV118" s="4"/>
      <c r="AHW118" s="4"/>
      <c r="AHX118" s="4"/>
      <c r="AHY118" s="4"/>
      <c r="AHZ118" s="4"/>
      <c r="AIA118" s="4"/>
      <c r="AIB118" s="4"/>
      <c r="AIC118" s="4"/>
      <c r="AID118" s="4"/>
      <c r="AIE118" s="4"/>
      <c r="AIF118" s="4"/>
      <c r="AIG118" s="4"/>
      <c r="AIH118" s="4"/>
      <c r="AII118" s="4"/>
      <c r="AIJ118" s="4"/>
      <c r="AIK118" s="4"/>
      <c r="AIL118" s="4"/>
      <c r="AIM118" s="4"/>
      <c r="AIN118" s="4"/>
      <c r="AIO118" s="4"/>
      <c r="AIP118" s="4"/>
      <c r="AIQ118" s="4"/>
      <c r="AIR118" s="4"/>
      <c r="AIS118" s="4"/>
      <c r="AIT118" s="4"/>
      <c r="AIU118" s="4"/>
      <c r="AIV118" s="4"/>
      <c r="AIW118" s="4"/>
      <c r="AIX118" s="4"/>
      <c r="AIY118" s="4"/>
      <c r="AIZ118" s="4"/>
      <c r="AJA118" s="4"/>
      <c r="AJB118" s="4"/>
      <c r="AJC118" s="4"/>
      <c r="AJD118" s="4"/>
      <c r="AJE118" s="4"/>
      <c r="AJF118" s="4"/>
      <c r="AJG118" s="4"/>
      <c r="AJH118" s="4"/>
      <c r="AJI118" s="4"/>
      <c r="AJJ118" s="4"/>
      <c r="AJK118" s="4"/>
      <c r="AJL118" s="4"/>
      <c r="AJM118" s="4"/>
      <c r="AJN118" s="4"/>
      <c r="AJO118" s="4"/>
      <c r="AJP118" s="4"/>
      <c r="AJQ118" s="4"/>
      <c r="AJR118" s="4"/>
      <c r="AJS118" s="4"/>
      <c r="AJT118" s="4"/>
      <c r="AJU118" s="4"/>
      <c r="AJV118" s="4"/>
      <c r="AJW118" s="4"/>
      <c r="AJX118" s="4"/>
      <c r="AJY118" s="4"/>
      <c r="AJZ118" s="4"/>
      <c r="AKA118" s="4"/>
      <c r="AKB118" s="4"/>
      <c r="AKC118" s="4"/>
      <c r="AKD118" s="4"/>
      <c r="AKE118" s="4"/>
      <c r="AKF118" s="4"/>
      <c r="AKG118" s="4"/>
      <c r="AKH118" s="4"/>
      <c r="AKI118" s="4"/>
      <c r="AKJ118" s="4"/>
      <c r="AKK118" s="4"/>
      <c r="AKL118" s="4"/>
      <c r="AKM118" s="4"/>
      <c r="AKN118" s="4"/>
      <c r="AKO118" s="4"/>
      <c r="AKP118" s="4"/>
      <c r="AKQ118" s="4"/>
      <c r="AKR118" s="4"/>
      <c r="AKS118" s="4"/>
      <c r="AKT118" s="4"/>
      <c r="AKU118" s="4"/>
      <c r="AKV118" s="4"/>
      <c r="AKW118" s="4"/>
      <c r="AKX118" s="4"/>
      <c r="AKY118" s="4"/>
      <c r="AKZ118" s="4"/>
      <c r="ALA118" s="4"/>
      <c r="ALB118" s="4"/>
      <c r="ALC118" s="4"/>
      <c r="ALD118" s="4"/>
      <c r="ALE118" s="4"/>
      <c r="ALF118" s="4"/>
      <c r="ALG118" s="4"/>
      <c r="ALH118" s="4"/>
      <c r="ALI118" s="4"/>
      <c r="ALJ118" s="4"/>
      <c r="ALK118" s="4"/>
      <c r="ALL118" s="4"/>
      <c r="ALM118" s="4"/>
      <c r="ALN118" s="4"/>
      <c r="ALO118" s="4"/>
      <c r="ALP118" s="4"/>
      <c r="ALQ118" s="4"/>
      <c r="ALR118" s="4"/>
    </row>
    <row r="119" spans="1:1006" x14ac:dyDescent="0.25">
      <c r="A119" s="171" t="s">
        <v>282</v>
      </c>
      <c r="B119" s="48" t="s">
        <v>302</v>
      </c>
      <c r="C119" s="123" t="s">
        <v>628</v>
      </c>
      <c r="D119" s="81" t="s">
        <v>293</v>
      </c>
      <c r="E119" s="49" t="s">
        <v>38</v>
      </c>
      <c r="F119" s="49" t="s">
        <v>34</v>
      </c>
      <c r="G119" s="57" t="s">
        <v>34</v>
      </c>
      <c r="H119" s="49" t="s">
        <v>285</v>
      </c>
      <c r="I119" s="52" t="s">
        <v>34</v>
      </c>
      <c r="J119" s="53">
        <v>999</v>
      </c>
      <c r="K119" s="54">
        <v>46037</v>
      </c>
      <c r="L119" s="49" t="s">
        <v>32</v>
      </c>
      <c r="M119" s="55" t="s">
        <v>34</v>
      </c>
      <c r="N119" s="53">
        <v>600</v>
      </c>
      <c r="O119" s="54">
        <v>46052</v>
      </c>
      <c r="P119" s="49" t="s">
        <v>32</v>
      </c>
      <c r="Q119" s="55" t="s">
        <v>303</v>
      </c>
      <c r="R119" s="53">
        <v>5591.74</v>
      </c>
      <c r="S119" s="54">
        <v>46040</v>
      </c>
      <c r="T119" s="49" t="s">
        <v>32</v>
      </c>
      <c r="U119" s="53">
        <v>5402.65</v>
      </c>
      <c r="V119" s="54">
        <v>46053</v>
      </c>
      <c r="W119" s="49" t="s">
        <v>32</v>
      </c>
      <c r="X119" s="56" t="s">
        <v>34</v>
      </c>
      <c r="Y119" s="49" t="s">
        <v>34</v>
      </c>
      <c r="Z119" s="53"/>
      <c r="AA119" s="172" t="s">
        <v>40</v>
      </c>
      <c r="AB119" s="6"/>
      <c r="AC119" s="5"/>
      <c r="AD119" s="5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  <c r="AJG119" s="4"/>
      <c r="AJH119" s="4"/>
      <c r="AJI119" s="4"/>
      <c r="AJJ119" s="4"/>
      <c r="AJK119" s="4"/>
      <c r="AJL119" s="4"/>
      <c r="AJM119" s="4"/>
      <c r="AJN119" s="4"/>
      <c r="AJO119" s="4"/>
      <c r="AJP119" s="4"/>
      <c r="AJQ119" s="4"/>
      <c r="AJR119" s="4"/>
      <c r="AJS119" s="4"/>
      <c r="AJT119" s="4"/>
      <c r="AJU119" s="4"/>
      <c r="AJV119" s="4"/>
      <c r="AJW119" s="4"/>
      <c r="AJX119" s="4"/>
      <c r="AJY119" s="4"/>
      <c r="AJZ119" s="4"/>
      <c r="AKA119" s="4"/>
      <c r="AKB119" s="4"/>
      <c r="AKC119" s="4"/>
      <c r="AKD119" s="4"/>
      <c r="AKE119" s="4"/>
      <c r="AKF119" s="4"/>
      <c r="AKG119" s="4"/>
      <c r="AKH119" s="4"/>
      <c r="AKI119" s="4"/>
      <c r="AKJ119" s="4"/>
      <c r="AKK119" s="4"/>
      <c r="AKL119" s="4"/>
      <c r="AKM119" s="4"/>
      <c r="AKN119" s="4"/>
      <c r="AKO119" s="4"/>
      <c r="AKP119" s="4"/>
      <c r="AKQ119" s="4"/>
      <c r="AKR119" s="4"/>
      <c r="AKS119" s="4"/>
      <c r="AKT119" s="4"/>
      <c r="AKU119" s="4"/>
      <c r="AKV119" s="4"/>
      <c r="AKW119" s="4"/>
      <c r="AKX119" s="4"/>
      <c r="AKY119" s="4"/>
      <c r="AKZ119" s="4"/>
      <c r="ALA119" s="4"/>
      <c r="ALB119" s="4"/>
      <c r="ALC119" s="4"/>
      <c r="ALD119" s="4"/>
      <c r="ALE119" s="4"/>
      <c r="ALF119" s="4"/>
      <c r="ALG119" s="4"/>
      <c r="ALH119" s="4"/>
      <c r="ALI119" s="4"/>
      <c r="ALJ119" s="4"/>
      <c r="ALK119" s="4"/>
      <c r="ALL119" s="4"/>
      <c r="ALM119" s="4"/>
      <c r="ALN119" s="4"/>
      <c r="ALO119" s="4"/>
      <c r="ALP119" s="4"/>
      <c r="ALQ119" s="4"/>
      <c r="ALR119" s="4"/>
    </row>
    <row r="120" spans="1:1006" x14ac:dyDescent="0.25">
      <c r="A120" s="171" t="s">
        <v>282</v>
      </c>
      <c r="B120" s="48" t="s">
        <v>304</v>
      </c>
      <c r="C120" s="123" t="s">
        <v>629</v>
      </c>
      <c r="D120" s="81" t="s">
        <v>293</v>
      </c>
      <c r="E120" s="49" t="s">
        <v>38</v>
      </c>
      <c r="F120" s="49" t="s">
        <v>34</v>
      </c>
      <c r="G120" s="57" t="s">
        <v>34</v>
      </c>
      <c r="H120" s="49" t="s">
        <v>285</v>
      </c>
      <c r="I120" s="52" t="s">
        <v>34</v>
      </c>
      <c r="J120" s="53">
        <v>999</v>
      </c>
      <c r="K120" s="54">
        <v>46037</v>
      </c>
      <c r="L120" s="49" t="s">
        <v>32</v>
      </c>
      <c r="M120" s="55" t="s">
        <v>34</v>
      </c>
      <c r="N120" s="53">
        <v>960</v>
      </c>
      <c r="O120" s="54">
        <v>46052</v>
      </c>
      <c r="P120" s="49" t="s">
        <v>32</v>
      </c>
      <c r="Q120" s="55" t="s">
        <v>305</v>
      </c>
      <c r="R120" s="53">
        <v>4900.57</v>
      </c>
      <c r="S120" s="54">
        <v>46040</v>
      </c>
      <c r="T120" s="49" t="s">
        <v>32</v>
      </c>
      <c r="U120" s="53">
        <v>5402.65</v>
      </c>
      <c r="V120" s="54">
        <v>46053</v>
      </c>
      <c r="W120" s="49" t="s">
        <v>32</v>
      </c>
      <c r="X120" s="56" t="s">
        <v>34</v>
      </c>
      <c r="Y120" s="49" t="s">
        <v>34</v>
      </c>
      <c r="Z120" s="53"/>
      <c r="AA120" s="172" t="s">
        <v>40</v>
      </c>
      <c r="AB120" s="6"/>
      <c r="AC120" s="5"/>
      <c r="AD120" s="5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  <c r="AJG120" s="4"/>
      <c r="AJH120" s="4"/>
      <c r="AJI120" s="4"/>
      <c r="AJJ120" s="4"/>
      <c r="AJK120" s="4"/>
      <c r="AJL120" s="4"/>
      <c r="AJM120" s="4"/>
      <c r="AJN120" s="4"/>
      <c r="AJO120" s="4"/>
      <c r="AJP120" s="4"/>
      <c r="AJQ120" s="4"/>
      <c r="AJR120" s="4"/>
      <c r="AJS120" s="4"/>
      <c r="AJT120" s="4"/>
      <c r="AJU120" s="4"/>
      <c r="AJV120" s="4"/>
      <c r="AJW120" s="4"/>
      <c r="AJX120" s="4"/>
      <c r="AJY120" s="4"/>
      <c r="AJZ120" s="4"/>
      <c r="AKA120" s="4"/>
      <c r="AKB120" s="4"/>
      <c r="AKC120" s="4"/>
      <c r="AKD120" s="4"/>
      <c r="AKE120" s="4"/>
      <c r="AKF120" s="4"/>
      <c r="AKG120" s="4"/>
      <c r="AKH120" s="4"/>
      <c r="AKI120" s="4"/>
      <c r="AKJ120" s="4"/>
      <c r="AKK120" s="4"/>
      <c r="AKL120" s="4"/>
      <c r="AKM120" s="4"/>
      <c r="AKN120" s="4"/>
      <c r="AKO120" s="4"/>
      <c r="AKP120" s="4"/>
      <c r="AKQ120" s="4"/>
      <c r="AKR120" s="4"/>
      <c r="AKS120" s="4"/>
      <c r="AKT120" s="4"/>
      <c r="AKU120" s="4"/>
      <c r="AKV120" s="4"/>
      <c r="AKW120" s="4"/>
      <c r="AKX120" s="4"/>
      <c r="AKY120" s="4"/>
      <c r="AKZ120" s="4"/>
      <c r="ALA120" s="4"/>
      <c r="ALB120" s="4"/>
      <c r="ALC120" s="4"/>
      <c r="ALD120" s="4"/>
      <c r="ALE120" s="4"/>
      <c r="ALF120" s="4"/>
      <c r="ALG120" s="4"/>
      <c r="ALH120" s="4"/>
      <c r="ALI120" s="4"/>
      <c r="ALJ120" s="4"/>
      <c r="ALK120" s="4"/>
      <c r="ALL120" s="4"/>
      <c r="ALM120" s="4"/>
      <c r="ALN120" s="4"/>
      <c r="ALO120" s="4"/>
      <c r="ALP120" s="4"/>
      <c r="ALQ120" s="4"/>
      <c r="ALR120" s="4"/>
    </row>
    <row r="121" spans="1:1006" x14ac:dyDescent="0.25">
      <c r="A121" s="171" t="s">
        <v>282</v>
      </c>
      <c r="B121" s="48" t="s">
        <v>306</v>
      </c>
      <c r="C121" s="123" t="s">
        <v>630</v>
      </c>
      <c r="D121" s="81" t="s">
        <v>307</v>
      </c>
      <c r="E121" s="49" t="s">
        <v>38</v>
      </c>
      <c r="F121" s="67" t="s">
        <v>34</v>
      </c>
      <c r="G121" s="68" t="s">
        <v>34</v>
      </c>
      <c r="H121" s="49" t="s">
        <v>285</v>
      </c>
      <c r="I121" s="52" t="s">
        <v>34</v>
      </c>
      <c r="J121" s="53">
        <v>999</v>
      </c>
      <c r="K121" s="54">
        <v>46037</v>
      </c>
      <c r="L121" s="49" t="s">
        <v>32</v>
      </c>
      <c r="M121" s="55" t="s">
        <v>34</v>
      </c>
      <c r="N121" s="53">
        <v>300</v>
      </c>
      <c r="O121" s="54">
        <v>46052</v>
      </c>
      <c r="P121" s="49" t="s">
        <v>32</v>
      </c>
      <c r="Q121" s="55" t="s">
        <v>308</v>
      </c>
      <c r="R121" s="53">
        <v>2498.44</v>
      </c>
      <c r="S121" s="54">
        <v>46040</v>
      </c>
      <c r="T121" s="49" t="s">
        <v>32</v>
      </c>
      <c r="U121" s="53">
        <v>3170.15</v>
      </c>
      <c r="V121" s="54">
        <v>46053</v>
      </c>
      <c r="W121" s="49" t="s">
        <v>32</v>
      </c>
      <c r="X121" s="56" t="s">
        <v>34</v>
      </c>
      <c r="Y121" s="49" t="s">
        <v>34</v>
      </c>
      <c r="Z121" s="53"/>
      <c r="AA121" s="172" t="s">
        <v>40</v>
      </c>
      <c r="AB121" s="6"/>
      <c r="AC121" s="5"/>
      <c r="AD121" s="5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  <c r="AJG121" s="4"/>
      <c r="AJH121" s="4"/>
      <c r="AJI121" s="4"/>
      <c r="AJJ121" s="4"/>
      <c r="AJK121" s="4"/>
      <c r="AJL121" s="4"/>
      <c r="AJM121" s="4"/>
      <c r="AJN121" s="4"/>
      <c r="AJO121" s="4"/>
      <c r="AJP121" s="4"/>
      <c r="AJQ121" s="4"/>
      <c r="AJR121" s="4"/>
      <c r="AJS121" s="4"/>
      <c r="AJT121" s="4"/>
      <c r="AJU121" s="4"/>
      <c r="AJV121" s="4"/>
      <c r="AJW121" s="4"/>
      <c r="AJX121" s="4"/>
      <c r="AJY121" s="4"/>
      <c r="AJZ121" s="4"/>
      <c r="AKA121" s="4"/>
      <c r="AKB121" s="4"/>
      <c r="AKC121" s="4"/>
      <c r="AKD121" s="4"/>
      <c r="AKE121" s="4"/>
      <c r="AKF121" s="4"/>
      <c r="AKG121" s="4"/>
      <c r="AKH121" s="4"/>
      <c r="AKI121" s="4"/>
      <c r="AKJ121" s="4"/>
      <c r="AKK121" s="4"/>
      <c r="AKL121" s="4"/>
      <c r="AKM121" s="4"/>
      <c r="AKN121" s="4"/>
      <c r="AKO121" s="4"/>
      <c r="AKP121" s="4"/>
      <c r="AKQ121" s="4"/>
      <c r="AKR121" s="4"/>
      <c r="AKS121" s="4"/>
      <c r="AKT121" s="4"/>
      <c r="AKU121" s="4"/>
      <c r="AKV121" s="4"/>
      <c r="AKW121" s="4"/>
      <c r="AKX121" s="4"/>
      <c r="AKY121" s="4"/>
      <c r="AKZ121" s="4"/>
      <c r="ALA121" s="4"/>
      <c r="ALB121" s="4"/>
      <c r="ALC121" s="4"/>
      <c r="ALD121" s="4"/>
      <c r="ALE121" s="4"/>
      <c r="ALF121" s="4"/>
      <c r="ALG121" s="4"/>
      <c r="ALH121" s="4"/>
      <c r="ALI121" s="4"/>
      <c r="ALJ121" s="4"/>
      <c r="ALK121" s="4"/>
      <c r="ALL121" s="4"/>
      <c r="ALM121" s="4"/>
      <c r="ALN121" s="4"/>
      <c r="ALO121" s="4"/>
      <c r="ALP121" s="4"/>
      <c r="ALQ121" s="4"/>
      <c r="ALR121" s="4"/>
    </row>
    <row r="122" spans="1:1006" x14ac:dyDescent="0.25">
      <c r="A122" s="174" t="s">
        <v>282</v>
      </c>
      <c r="B122" s="55" t="s">
        <v>309</v>
      </c>
      <c r="C122" s="123" t="s">
        <v>631</v>
      </c>
      <c r="D122" s="81" t="s">
        <v>269</v>
      </c>
      <c r="E122" s="55" t="s">
        <v>38</v>
      </c>
      <c r="F122" s="49" t="s">
        <v>34</v>
      </c>
      <c r="G122" s="57" t="s">
        <v>34</v>
      </c>
      <c r="H122" s="49" t="s">
        <v>310</v>
      </c>
      <c r="I122" s="52" t="s">
        <v>34</v>
      </c>
      <c r="J122" s="53" t="s">
        <v>34</v>
      </c>
      <c r="K122" s="54" t="s">
        <v>34</v>
      </c>
      <c r="L122" s="49" t="s">
        <v>34</v>
      </c>
      <c r="M122" s="55" t="s">
        <v>34</v>
      </c>
      <c r="N122" s="53">
        <v>300</v>
      </c>
      <c r="O122" s="54">
        <v>46052</v>
      </c>
      <c r="P122" s="49" t="s">
        <v>32</v>
      </c>
      <c r="Q122" s="55" t="s">
        <v>311</v>
      </c>
      <c r="R122" s="53">
        <v>220.93</v>
      </c>
      <c r="S122" s="54">
        <v>46038</v>
      </c>
      <c r="T122" s="49" t="s">
        <v>32</v>
      </c>
      <c r="U122" s="53">
        <v>2660</v>
      </c>
      <c r="V122" s="54">
        <v>46053</v>
      </c>
      <c r="W122" s="49" t="s">
        <v>32</v>
      </c>
      <c r="X122" s="56" t="s">
        <v>34</v>
      </c>
      <c r="Y122" s="49" t="s">
        <v>34</v>
      </c>
      <c r="Z122" s="76"/>
      <c r="AA122" s="172" t="s">
        <v>35</v>
      </c>
      <c r="AB122" s="6"/>
      <c r="AC122" s="5"/>
      <c r="AD122" s="5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</row>
    <row r="123" spans="1:1006" x14ac:dyDescent="0.25">
      <c r="A123" s="171" t="s">
        <v>282</v>
      </c>
      <c r="B123" s="48" t="s">
        <v>312</v>
      </c>
      <c r="C123" s="123" t="s">
        <v>632</v>
      </c>
      <c r="D123" s="81" t="s">
        <v>313</v>
      </c>
      <c r="E123" s="49" t="s">
        <v>38</v>
      </c>
      <c r="F123" s="49" t="s">
        <v>34</v>
      </c>
      <c r="G123" s="57" t="s">
        <v>34</v>
      </c>
      <c r="H123" s="49" t="s">
        <v>431</v>
      </c>
      <c r="I123" s="52" t="s">
        <v>34</v>
      </c>
      <c r="J123" s="53">
        <v>999</v>
      </c>
      <c r="K123" s="54">
        <v>46037</v>
      </c>
      <c r="L123" s="49" t="s">
        <v>32</v>
      </c>
      <c r="M123" s="49" t="s">
        <v>34</v>
      </c>
      <c r="N123" s="53">
        <v>420</v>
      </c>
      <c r="O123" s="54">
        <v>46052</v>
      </c>
      <c r="P123" s="49" t="s">
        <v>32</v>
      </c>
      <c r="Q123" s="55" t="s">
        <v>314</v>
      </c>
      <c r="R123" s="53">
        <v>1557.94</v>
      </c>
      <c r="S123" s="54">
        <v>46038</v>
      </c>
      <c r="T123" s="49" t="s">
        <v>32</v>
      </c>
      <c r="U123" s="53">
        <v>2702.75</v>
      </c>
      <c r="V123" s="54">
        <v>46053</v>
      </c>
      <c r="W123" s="49" t="s">
        <v>32</v>
      </c>
      <c r="X123" s="56" t="s">
        <v>34</v>
      </c>
      <c r="Y123" s="49" t="s">
        <v>34</v>
      </c>
      <c r="Z123" s="76"/>
      <c r="AA123" s="172" t="s">
        <v>40</v>
      </c>
      <c r="AB123" s="6"/>
      <c r="AC123" s="5"/>
      <c r="AD123" s="5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  <c r="AJG123" s="4"/>
      <c r="AJH123" s="4"/>
      <c r="AJI123" s="4"/>
      <c r="AJJ123" s="4"/>
      <c r="AJK123" s="4"/>
      <c r="AJL123" s="4"/>
      <c r="AJM123" s="4"/>
      <c r="AJN123" s="4"/>
      <c r="AJO123" s="4"/>
      <c r="AJP123" s="4"/>
      <c r="AJQ123" s="4"/>
      <c r="AJR123" s="4"/>
      <c r="AJS123" s="4"/>
      <c r="AJT123" s="4"/>
      <c r="AJU123" s="4"/>
      <c r="AJV123" s="4"/>
      <c r="AJW123" s="4"/>
      <c r="AJX123" s="4"/>
      <c r="AJY123" s="4"/>
      <c r="AJZ123" s="4"/>
      <c r="AKA123" s="4"/>
      <c r="AKB123" s="4"/>
      <c r="AKC123" s="4"/>
      <c r="AKD123" s="4"/>
      <c r="AKE123" s="4"/>
      <c r="AKF123" s="4"/>
      <c r="AKG123" s="4"/>
      <c r="AKH123" s="4"/>
      <c r="AKI123" s="4"/>
      <c r="AKJ123" s="4"/>
      <c r="AKK123" s="4"/>
      <c r="AKL123" s="4"/>
      <c r="AKM123" s="4"/>
      <c r="AKN123" s="4"/>
      <c r="AKO123" s="4"/>
      <c r="AKP123" s="4"/>
      <c r="AKQ123" s="4"/>
      <c r="AKR123" s="4"/>
      <c r="AKS123" s="4"/>
      <c r="AKT123" s="4"/>
      <c r="AKU123" s="4"/>
      <c r="AKV123" s="4"/>
      <c r="AKW123" s="4"/>
      <c r="AKX123" s="4"/>
      <c r="AKY123" s="4"/>
      <c r="AKZ123" s="4"/>
      <c r="ALA123" s="4"/>
      <c r="ALB123" s="4"/>
      <c r="ALC123" s="4"/>
      <c r="ALD123" s="4"/>
      <c r="ALE123" s="4"/>
      <c r="ALF123" s="4"/>
      <c r="ALG123" s="4"/>
      <c r="ALH123" s="4"/>
      <c r="ALI123" s="4"/>
      <c r="ALJ123" s="4"/>
      <c r="ALK123" s="4"/>
      <c r="ALL123" s="4"/>
      <c r="ALM123" s="4"/>
      <c r="ALN123" s="4"/>
      <c r="ALO123" s="4"/>
      <c r="ALP123" s="4"/>
      <c r="ALQ123" s="4"/>
      <c r="ALR123" s="4"/>
    </row>
    <row r="124" spans="1:1006" x14ac:dyDescent="0.25">
      <c r="A124" s="174" t="s">
        <v>282</v>
      </c>
      <c r="B124" s="48" t="s">
        <v>315</v>
      </c>
      <c r="C124" s="123" t="s">
        <v>633</v>
      </c>
      <c r="D124" s="81" t="s">
        <v>293</v>
      </c>
      <c r="E124" s="55" t="s">
        <v>38</v>
      </c>
      <c r="F124" s="55" t="s">
        <v>34</v>
      </c>
      <c r="G124" s="58" t="s">
        <v>34</v>
      </c>
      <c r="H124" s="49" t="s">
        <v>431</v>
      </c>
      <c r="I124" s="75" t="s">
        <v>34</v>
      </c>
      <c r="J124" s="53">
        <v>999</v>
      </c>
      <c r="K124" s="54">
        <v>46037</v>
      </c>
      <c r="L124" s="49" t="s">
        <v>32</v>
      </c>
      <c r="M124" s="55" t="s">
        <v>34</v>
      </c>
      <c r="N124" s="53">
        <v>720</v>
      </c>
      <c r="O124" s="54">
        <v>46052</v>
      </c>
      <c r="P124" s="49" t="s">
        <v>32</v>
      </c>
      <c r="Q124" s="55" t="s">
        <v>316</v>
      </c>
      <c r="R124" s="53">
        <v>4798.59</v>
      </c>
      <c r="S124" s="54">
        <v>46038</v>
      </c>
      <c r="T124" s="49" t="s">
        <v>32</v>
      </c>
      <c r="U124" s="53">
        <v>5402.65</v>
      </c>
      <c r="V124" s="54">
        <v>46053</v>
      </c>
      <c r="W124" s="49" t="s">
        <v>32</v>
      </c>
      <c r="X124" s="56" t="s">
        <v>34</v>
      </c>
      <c r="Y124" s="49" t="s">
        <v>34</v>
      </c>
      <c r="Z124" s="76"/>
      <c r="AA124" s="172" t="s">
        <v>40</v>
      </c>
      <c r="AB124" s="6"/>
      <c r="AC124" s="5"/>
      <c r="AD124" s="5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  <c r="AJG124" s="4"/>
      <c r="AJH124" s="4"/>
      <c r="AJI124" s="4"/>
      <c r="AJJ124" s="4"/>
      <c r="AJK124" s="4"/>
      <c r="AJL124" s="4"/>
      <c r="AJM124" s="4"/>
      <c r="AJN124" s="4"/>
      <c r="AJO124" s="4"/>
      <c r="AJP124" s="4"/>
      <c r="AJQ124" s="4"/>
      <c r="AJR124" s="4"/>
      <c r="AJS124" s="4"/>
      <c r="AJT124" s="4"/>
      <c r="AJU124" s="4"/>
      <c r="AJV124" s="4"/>
      <c r="AJW124" s="4"/>
      <c r="AJX124" s="4"/>
      <c r="AJY124" s="4"/>
      <c r="AJZ124" s="4"/>
      <c r="AKA124" s="4"/>
      <c r="AKB124" s="4"/>
      <c r="AKC124" s="4"/>
      <c r="AKD124" s="4"/>
      <c r="AKE124" s="4"/>
      <c r="AKF124" s="4"/>
      <c r="AKG124" s="4"/>
      <c r="AKH124" s="4"/>
      <c r="AKI124" s="4"/>
      <c r="AKJ124" s="4"/>
      <c r="AKK124" s="4"/>
      <c r="AKL124" s="4"/>
      <c r="AKM124" s="4"/>
      <c r="AKN124" s="4"/>
      <c r="AKO124" s="4"/>
      <c r="AKP124" s="4"/>
      <c r="AKQ124" s="4"/>
      <c r="AKR124" s="4"/>
      <c r="AKS124" s="4"/>
      <c r="AKT124" s="4"/>
      <c r="AKU124" s="4"/>
      <c r="AKV124" s="4"/>
      <c r="AKW124" s="4"/>
      <c r="AKX124" s="4"/>
      <c r="AKY124" s="4"/>
      <c r="AKZ124" s="4"/>
      <c r="ALA124" s="4"/>
      <c r="ALB124" s="4"/>
      <c r="ALC124" s="4"/>
      <c r="ALD124" s="4"/>
      <c r="ALE124" s="4"/>
      <c r="ALF124" s="4"/>
      <c r="ALG124" s="4"/>
      <c r="ALH124" s="4"/>
      <c r="ALI124" s="4"/>
      <c r="ALJ124" s="4"/>
      <c r="ALK124" s="4"/>
      <c r="ALL124" s="4"/>
      <c r="ALM124" s="4"/>
      <c r="ALN124" s="4"/>
      <c r="ALO124" s="4"/>
      <c r="ALP124" s="4"/>
      <c r="ALQ124" s="4"/>
      <c r="ALR124" s="4"/>
    </row>
    <row r="125" spans="1:1006" x14ac:dyDescent="0.25">
      <c r="A125" s="174" t="s">
        <v>282</v>
      </c>
      <c r="B125" s="48" t="s">
        <v>317</v>
      </c>
      <c r="C125" s="123" t="s">
        <v>634</v>
      </c>
      <c r="D125" s="81" t="s">
        <v>293</v>
      </c>
      <c r="E125" s="55" t="s">
        <v>38</v>
      </c>
      <c r="F125" s="55" t="s">
        <v>34</v>
      </c>
      <c r="G125" s="58" t="s">
        <v>34</v>
      </c>
      <c r="H125" s="49" t="s">
        <v>431</v>
      </c>
      <c r="I125" s="75" t="s">
        <v>34</v>
      </c>
      <c r="J125" s="53">
        <v>999</v>
      </c>
      <c r="K125" s="54">
        <v>46037</v>
      </c>
      <c r="L125" s="49" t="s">
        <v>32</v>
      </c>
      <c r="M125" s="55" t="s">
        <v>34</v>
      </c>
      <c r="N125" s="53">
        <v>600</v>
      </c>
      <c r="O125" s="54">
        <v>46052</v>
      </c>
      <c r="P125" s="49" t="s">
        <v>32</v>
      </c>
      <c r="Q125" s="55" t="s">
        <v>318</v>
      </c>
      <c r="R125" s="53">
        <v>5931.67</v>
      </c>
      <c r="S125" s="54">
        <v>46038</v>
      </c>
      <c r="T125" s="49" t="s">
        <v>32</v>
      </c>
      <c r="U125" s="53">
        <v>5402.65</v>
      </c>
      <c r="V125" s="54">
        <v>46053</v>
      </c>
      <c r="W125" s="49" t="s">
        <v>32</v>
      </c>
      <c r="X125" s="56" t="s">
        <v>34</v>
      </c>
      <c r="Y125" s="49" t="s">
        <v>34</v>
      </c>
      <c r="Z125" s="76"/>
      <c r="AA125" s="172" t="s">
        <v>40</v>
      </c>
      <c r="AB125" s="6"/>
      <c r="AC125" s="5"/>
      <c r="AD125" s="5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  <c r="AJG125" s="4"/>
      <c r="AJH125" s="4"/>
      <c r="AJI125" s="4"/>
      <c r="AJJ125" s="4"/>
      <c r="AJK125" s="4"/>
      <c r="AJL125" s="4"/>
      <c r="AJM125" s="4"/>
      <c r="AJN125" s="4"/>
      <c r="AJO125" s="4"/>
      <c r="AJP125" s="4"/>
      <c r="AJQ125" s="4"/>
      <c r="AJR125" s="4"/>
      <c r="AJS125" s="4"/>
      <c r="AJT125" s="4"/>
      <c r="AJU125" s="4"/>
      <c r="AJV125" s="4"/>
      <c r="AJW125" s="4"/>
      <c r="AJX125" s="4"/>
      <c r="AJY125" s="4"/>
      <c r="AJZ125" s="4"/>
      <c r="AKA125" s="4"/>
      <c r="AKB125" s="4"/>
      <c r="AKC125" s="4"/>
      <c r="AKD125" s="4"/>
      <c r="AKE125" s="4"/>
      <c r="AKF125" s="4"/>
      <c r="AKG125" s="4"/>
      <c r="AKH125" s="4"/>
      <c r="AKI125" s="4"/>
      <c r="AKJ125" s="4"/>
      <c r="AKK125" s="4"/>
      <c r="AKL125" s="4"/>
      <c r="AKM125" s="4"/>
      <c r="AKN125" s="4"/>
      <c r="AKO125" s="4"/>
      <c r="AKP125" s="4"/>
      <c r="AKQ125" s="4"/>
      <c r="AKR125" s="4"/>
      <c r="AKS125" s="4"/>
      <c r="AKT125" s="4"/>
      <c r="AKU125" s="4"/>
      <c r="AKV125" s="4"/>
      <c r="AKW125" s="4"/>
      <c r="AKX125" s="4"/>
      <c r="AKY125" s="4"/>
      <c r="AKZ125" s="4"/>
      <c r="ALA125" s="4"/>
      <c r="ALB125" s="4"/>
      <c r="ALC125" s="4"/>
      <c r="ALD125" s="4"/>
      <c r="ALE125" s="4"/>
      <c r="ALF125" s="4"/>
      <c r="ALG125" s="4"/>
      <c r="ALH125" s="4"/>
      <c r="ALI125" s="4"/>
      <c r="ALJ125" s="4"/>
      <c r="ALK125" s="4"/>
      <c r="ALL125" s="4"/>
      <c r="ALM125" s="4"/>
      <c r="ALN125" s="4"/>
      <c r="ALO125" s="4"/>
      <c r="ALP125" s="4"/>
      <c r="ALQ125" s="4"/>
      <c r="ALR125" s="4"/>
    </row>
    <row r="126" spans="1:1006" x14ac:dyDescent="0.25">
      <c r="A126" s="171" t="s">
        <v>282</v>
      </c>
      <c r="B126" s="48" t="s">
        <v>319</v>
      </c>
      <c r="C126" s="123" t="s">
        <v>635</v>
      </c>
      <c r="D126" s="81" t="s">
        <v>320</v>
      </c>
      <c r="E126" s="49" t="s">
        <v>38</v>
      </c>
      <c r="F126" s="49" t="s">
        <v>34</v>
      </c>
      <c r="G126" s="57" t="s">
        <v>34</v>
      </c>
      <c r="H126" s="49" t="s">
        <v>431</v>
      </c>
      <c r="I126" s="52" t="s">
        <v>34</v>
      </c>
      <c r="J126" s="53">
        <v>999</v>
      </c>
      <c r="K126" s="54">
        <v>46037</v>
      </c>
      <c r="L126" s="49" t="s">
        <v>32</v>
      </c>
      <c r="M126" s="55" t="s">
        <v>34</v>
      </c>
      <c r="N126" s="53">
        <v>300</v>
      </c>
      <c r="O126" s="54">
        <v>46052</v>
      </c>
      <c r="P126" s="49" t="s">
        <v>32</v>
      </c>
      <c r="Q126" s="55" t="s">
        <v>321</v>
      </c>
      <c r="R126" s="53">
        <v>2441.77</v>
      </c>
      <c r="S126" s="54">
        <v>46040</v>
      </c>
      <c r="T126" s="49" t="s">
        <v>32</v>
      </c>
      <c r="U126" s="53">
        <v>2702.75</v>
      </c>
      <c r="V126" s="54">
        <v>46053</v>
      </c>
      <c r="W126" s="49" t="s">
        <v>32</v>
      </c>
      <c r="X126" s="56" t="s">
        <v>34</v>
      </c>
      <c r="Y126" s="49" t="s">
        <v>34</v>
      </c>
      <c r="Z126" s="76"/>
      <c r="AA126" s="172" t="s">
        <v>40</v>
      </c>
      <c r="AB126" s="6"/>
      <c r="AC126" s="5"/>
      <c r="AD126" s="5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  <c r="AJG126" s="4"/>
      <c r="AJH126" s="4"/>
      <c r="AJI126" s="4"/>
      <c r="AJJ126" s="4"/>
      <c r="AJK126" s="4"/>
      <c r="AJL126" s="4"/>
      <c r="AJM126" s="4"/>
      <c r="AJN126" s="4"/>
      <c r="AJO126" s="4"/>
      <c r="AJP126" s="4"/>
      <c r="AJQ126" s="4"/>
      <c r="AJR126" s="4"/>
      <c r="AJS126" s="4"/>
      <c r="AJT126" s="4"/>
      <c r="AJU126" s="4"/>
      <c r="AJV126" s="4"/>
      <c r="AJW126" s="4"/>
      <c r="AJX126" s="4"/>
      <c r="AJY126" s="4"/>
      <c r="AJZ126" s="4"/>
      <c r="AKA126" s="4"/>
      <c r="AKB126" s="4"/>
      <c r="AKC126" s="4"/>
      <c r="AKD126" s="4"/>
      <c r="AKE126" s="4"/>
      <c r="AKF126" s="4"/>
      <c r="AKG126" s="4"/>
      <c r="AKH126" s="4"/>
      <c r="AKI126" s="4"/>
      <c r="AKJ126" s="4"/>
      <c r="AKK126" s="4"/>
      <c r="AKL126" s="4"/>
      <c r="AKM126" s="4"/>
      <c r="AKN126" s="4"/>
      <c r="AKO126" s="4"/>
      <c r="AKP126" s="4"/>
      <c r="AKQ126" s="4"/>
      <c r="AKR126" s="4"/>
      <c r="AKS126" s="4"/>
      <c r="AKT126" s="4"/>
      <c r="AKU126" s="4"/>
      <c r="AKV126" s="4"/>
      <c r="AKW126" s="4"/>
      <c r="AKX126" s="4"/>
      <c r="AKY126" s="4"/>
      <c r="AKZ126" s="4"/>
      <c r="ALA126" s="4"/>
      <c r="ALB126" s="4"/>
      <c r="ALC126" s="4"/>
      <c r="ALD126" s="4"/>
      <c r="ALE126" s="4"/>
      <c r="ALF126" s="4"/>
      <c r="ALG126" s="4"/>
      <c r="ALH126" s="4"/>
      <c r="ALI126" s="4"/>
      <c r="ALJ126" s="4"/>
      <c r="ALK126" s="4"/>
      <c r="ALL126" s="4"/>
      <c r="ALM126" s="4"/>
      <c r="ALN126" s="4"/>
      <c r="ALO126" s="4"/>
      <c r="ALP126" s="4"/>
      <c r="ALQ126" s="4"/>
      <c r="ALR126" s="4"/>
    </row>
    <row r="127" spans="1:1006" x14ac:dyDescent="0.25">
      <c r="A127" s="171" t="s">
        <v>282</v>
      </c>
      <c r="B127" s="48" t="s">
        <v>322</v>
      </c>
      <c r="C127" s="123" t="s">
        <v>636</v>
      </c>
      <c r="D127" s="81" t="s">
        <v>388</v>
      </c>
      <c r="E127" s="49" t="s">
        <v>38</v>
      </c>
      <c r="F127" s="49" t="s">
        <v>34</v>
      </c>
      <c r="G127" s="57" t="s">
        <v>34</v>
      </c>
      <c r="H127" s="49" t="s">
        <v>431</v>
      </c>
      <c r="I127" s="52" t="s">
        <v>34</v>
      </c>
      <c r="J127" s="53">
        <v>999</v>
      </c>
      <c r="K127" s="54">
        <v>46037</v>
      </c>
      <c r="L127" s="49" t="s">
        <v>32</v>
      </c>
      <c r="M127" s="55" t="s">
        <v>34</v>
      </c>
      <c r="N127" s="53">
        <v>480</v>
      </c>
      <c r="O127" s="54">
        <v>46052</v>
      </c>
      <c r="P127" s="49" t="s">
        <v>32</v>
      </c>
      <c r="Q127" s="55" t="s">
        <v>323</v>
      </c>
      <c r="R127" s="53">
        <v>2589.08</v>
      </c>
      <c r="S127" s="54">
        <v>46038</v>
      </c>
      <c r="T127" s="49" t="s">
        <v>32</v>
      </c>
      <c r="U127" s="53">
        <v>2702.75</v>
      </c>
      <c r="V127" s="54">
        <v>46053</v>
      </c>
      <c r="W127" s="49" t="s">
        <v>32</v>
      </c>
      <c r="X127" s="56" t="s">
        <v>34</v>
      </c>
      <c r="Y127" s="49" t="s">
        <v>34</v>
      </c>
      <c r="Z127" s="76"/>
      <c r="AA127" s="172" t="s">
        <v>40</v>
      </c>
      <c r="AB127" s="6"/>
      <c r="AC127" s="5"/>
      <c r="AD127" s="5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  <c r="AJG127" s="4"/>
      <c r="AJH127" s="4"/>
      <c r="AJI127" s="4"/>
      <c r="AJJ127" s="4"/>
      <c r="AJK127" s="4"/>
      <c r="AJL127" s="4"/>
      <c r="AJM127" s="4"/>
      <c r="AJN127" s="4"/>
      <c r="AJO127" s="4"/>
      <c r="AJP127" s="4"/>
      <c r="AJQ127" s="4"/>
      <c r="AJR127" s="4"/>
      <c r="AJS127" s="4"/>
      <c r="AJT127" s="4"/>
      <c r="AJU127" s="4"/>
      <c r="AJV127" s="4"/>
      <c r="AJW127" s="4"/>
      <c r="AJX127" s="4"/>
      <c r="AJY127" s="4"/>
      <c r="AJZ127" s="4"/>
      <c r="AKA127" s="4"/>
      <c r="AKB127" s="4"/>
      <c r="AKC127" s="4"/>
      <c r="AKD127" s="4"/>
      <c r="AKE127" s="4"/>
      <c r="AKF127" s="4"/>
      <c r="AKG127" s="4"/>
      <c r="AKH127" s="4"/>
      <c r="AKI127" s="4"/>
      <c r="AKJ127" s="4"/>
      <c r="AKK127" s="4"/>
      <c r="AKL127" s="4"/>
      <c r="AKM127" s="4"/>
      <c r="AKN127" s="4"/>
      <c r="AKO127" s="4"/>
      <c r="AKP127" s="4"/>
      <c r="AKQ127" s="4"/>
      <c r="AKR127" s="4"/>
      <c r="AKS127" s="4"/>
      <c r="AKT127" s="4"/>
      <c r="AKU127" s="4"/>
      <c r="AKV127" s="4"/>
      <c r="AKW127" s="4"/>
      <c r="AKX127" s="4"/>
      <c r="AKY127" s="4"/>
      <c r="AKZ127" s="4"/>
      <c r="ALA127" s="4"/>
      <c r="ALB127" s="4"/>
      <c r="ALC127" s="4"/>
      <c r="ALD127" s="4"/>
      <c r="ALE127" s="4"/>
      <c r="ALF127" s="4"/>
      <c r="ALG127" s="4"/>
      <c r="ALH127" s="4"/>
      <c r="ALI127" s="4"/>
      <c r="ALJ127" s="4"/>
      <c r="ALK127" s="4"/>
      <c r="ALL127" s="4"/>
      <c r="ALM127" s="4"/>
      <c r="ALN127" s="4"/>
      <c r="ALO127" s="4"/>
      <c r="ALP127" s="4"/>
      <c r="ALQ127" s="4"/>
      <c r="ALR127" s="4"/>
    </row>
    <row r="128" spans="1:1006" x14ac:dyDescent="0.25">
      <c r="A128" s="171" t="s">
        <v>282</v>
      </c>
      <c r="B128" s="55" t="s">
        <v>324</v>
      </c>
      <c r="C128" s="123" t="s">
        <v>637</v>
      </c>
      <c r="D128" s="81" t="s">
        <v>147</v>
      </c>
      <c r="E128" s="49" t="s">
        <v>38</v>
      </c>
      <c r="F128" s="49" t="s">
        <v>34</v>
      </c>
      <c r="G128" s="57" t="s">
        <v>34</v>
      </c>
      <c r="H128" s="55" t="s">
        <v>404</v>
      </c>
      <c r="I128" s="85">
        <v>1680000732277</v>
      </c>
      <c r="J128" s="53">
        <f>1699+10</f>
        <v>1709</v>
      </c>
      <c r="K128" s="54">
        <v>46042</v>
      </c>
      <c r="L128" s="49" t="s">
        <v>32</v>
      </c>
      <c r="M128" s="55" t="s">
        <v>34</v>
      </c>
      <c r="N128" s="53">
        <v>540</v>
      </c>
      <c r="O128" s="54">
        <v>46052</v>
      </c>
      <c r="P128" s="49" t="s">
        <v>32</v>
      </c>
      <c r="Q128" s="55" t="s">
        <v>325</v>
      </c>
      <c r="R128" s="53">
        <v>3835.46</v>
      </c>
      <c r="S128" s="54">
        <v>46038</v>
      </c>
      <c r="T128" s="49" t="s">
        <v>32</v>
      </c>
      <c r="U128" s="53">
        <v>2702.75</v>
      </c>
      <c r="V128" s="54">
        <v>46053</v>
      </c>
      <c r="W128" s="49" t="s">
        <v>32</v>
      </c>
      <c r="X128" s="56" t="s">
        <v>34</v>
      </c>
      <c r="Y128" s="49" t="s">
        <v>34</v>
      </c>
      <c r="Z128" s="76"/>
      <c r="AA128" s="172" t="s">
        <v>40</v>
      </c>
      <c r="AB128" s="6"/>
      <c r="AC128" s="5"/>
      <c r="AD128" s="5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</row>
    <row r="129" spans="1:1006" x14ac:dyDescent="0.25">
      <c r="A129" s="171" t="s">
        <v>282</v>
      </c>
      <c r="B129" s="48" t="s">
        <v>326</v>
      </c>
      <c r="C129" s="123" t="s">
        <v>638</v>
      </c>
      <c r="D129" s="81" t="s">
        <v>327</v>
      </c>
      <c r="E129" s="49" t="s">
        <v>38</v>
      </c>
      <c r="F129" s="49" t="s">
        <v>34</v>
      </c>
      <c r="G129" s="57" t="s">
        <v>34</v>
      </c>
      <c r="H129" s="49" t="s">
        <v>431</v>
      </c>
      <c r="I129" s="52" t="s">
        <v>34</v>
      </c>
      <c r="J129" s="53">
        <v>999</v>
      </c>
      <c r="K129" s="54">
        <v>46037</v>
      </c>
      <c r="L129" s="49" t="s">
        <v>32</v>
      </c>
      <c r="M129" s="55" t="s">
        <v>34</v>
      </c>
      <c r="N129" s="53">
        <v>5580</v>
      </c>
      <c r="O129" s="54">
        <v>46052</v>
      </c>
      <c r="P129" s="49" t="s">
        <v>32</v>
      </c>
      <c r="Q129" s="55" t="s">
        <v>328</v>
      </c>
      <c r="R129" s="53">
        <v>2181.19</v>
      </c>
      <c r="S129" s="54">
        <v>46038</v>
      </c>
      <c r="T129" s="49" t="s">
        <v>32</v>
      </c>
      <c r="U129" s="53">
        <v>2698.95</v>
      </c>
      <c r="V129" s="54">
        <v>46053</v>
      </c>
      <c r="W129" s="49" t="s">
        <v>32</v>
      </c>
      <c r="X129" s="56" t="s">
        <v>34</v>
      </c>
      <c r="Y129" s="49" t="s">
        <v>34</v>
      </c>
      <c r="Z129" s="76"/>
      <c r="AA129" s="172" t="s">
        <v>40</v>
      </c>
      <c r="AB129" s="6"/>
      <c r="AC129" s="5"/>
      <c r="AD129" s="5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  <c r="AJG129" s="4"/>
      <c r="AJH129" s="4"/>
      <c r="AJI129" s="4"/>
      <c r="AJJ129" s="4"/>
      <c r="AJK129" s="4"/>
      <c r="AJL129" s="4"/>
      <c r="AJM129" s="4"/>
      <c r="AJN129" s="4"/>
      <c r="AJO129" s="4"/>
      <c r="AJP129" s="4"/>
      <c r="AJQ129" s="4"/>
      <c r="AJR129" s="4"/>
      <c r="AJS129" s="4"/>
      <c r="AJT129" s="4"/>
      <c r="AJU129" s="4"/>
      <c r="AJV129" s="4"/>
      <c r="AJW129" s="4"/>
      <c r="AJX129" s="4"/>
      <c r="AJY129" s="4"/>
      <c r="AJZ129" s="4"/>
      <c r="AKA129" s="4"/>
      <c r="AKB129" s="4"/>
      <c r="AKC129" s="4"/>
      <c r="AKD129" s="4"/>
      <c r="AKE129" s="4"/>
      <c r="AKF129" s="4"/>
      <c r="AKG129" s="4"/>
      <c r="AKH129" s="4"/>
      <c r="AKI129" s="4"/>
      <c r="AKJ129" s="4"/>
      <c r="AKK129" s="4"/>
      <c r="AKL129" s="4"/>
      <c r="AKM129" s="4"/>
      <c r="AKN129" s="4"/>
      <c r="AKO129" s="4"/>
      <c r="AKP129" s="4"/>
      <c r="AKQ129" s="4"/>
      <c r="AKR129" s="4"/>
      <c r="AKS129" s="4"/>
      <c r="AKT129" s="4"/>
      <c r="AKU129" s="4"/>
      <c r="AKV129" s="4"/>
      <c r="AKW129" s="4"/>
      <c r="AKX129" s="4"/>
      <c r="AKY129" s="4"/>
      <c r="AKZ129" s="4"/>
      <c r="ALA129" s="4"/>
      <c r="ALB129" s="4"/>
      <c r="ALC129" s="4"/>
      <c r="ALD129" s="4"/>
      <c r="ALE129" s="4"/>
      <c r="ALF129" s="4"/>
      <c r="ALG129" s="4"/>
      <c r="ALH129" s="4"/>
      <c r="ALI129" s="4"/>
      <c r="ALJ129" s="4"/>
      <c r="ALK129" s="4"/>
      <c r="ALL129" s="4"/>
      <c r="ALM129" s="4"/>
      <c r="ALN129" s="4"/>
      <c r="ALO129" s="4"/>
      <c r="ALP129" s="4"/>
      <c r="ALQ129" s="4"/>
      <c r="ALR129" s="4"/>
    </row>
    <row r="130" spans="1:1006" x14ac:dyDescent="0.25">
      <c r="A130" s="174" t="s">
        <v>282</v>
      </c>
      <c r="B130" s="48" t="s">
        <v>329</v>
      </c>
      <c r="C130" s="123" t="s">
        <v>639</v>
      </c>
      <c r="D130" s="81" t="s">
        <v>330</v>
      </c>
      <c r="E130" s="55" t="s">
        <v>38</v>
      </c>
      <c r="F130" s="55" t="s">
        <v>34</v>
      </c>
      <c r="G130" s="58" t="s">
        <v>34</v>
      </c>
      <c r="H130" s="49" t="s">
        <v>431</v>
      </c>
      <c r="I130" s="52" t="s">
        <v>34</v>
      </c>
      <c r="J130" s="53">
        <v>1599</v>
      </c>
      <c r="K130" s="54">
        <v>46037</v>
      </c>
      <c r="L130" s="49" t="s">
        <v>32</v>
      </c>
      <c r="M130" s="55" t="s">
        <v>34</v>
      </c>
      <c r="N130" s="53">
        <v>420</v>
      </c>
      <c r="O130" s="54">
        <v>46052</v>
      </c>
      <c r="P130" s="49" t="s">
        <v>32</v>
      </c>
      <c r="Q130" s="55" t="s">
        <v>331</v>
      </c>
      <c r="R130" s="53">
        <v>2645.72</v>
      </c>
      <c r="S130" s="54">
        <v>46038</v>
      </c>
      <c r="T130" s="49" t="s">
        <v>32</v>
      </c>
      <c r="U130" s="53">
        <v>3750.6</v>
      </c>
      <c r="V130" s="54">
        <v>46053</v>
      </c>
      <c r="W130" s="49" t="s">
        <v>32</v>
      </c>
      <c r="X130" s="56" t="s">
        <v>34</v>
      </c>
      <c r="Y130" s="49" t="s">
        <v>34</v>
      </c>
      <c r="Z130" s="76"/>
      <c r="AA130" s="172" t="s">
        <v>40</v>
      </c>
      <c r="AB130" s="6"/>
      <c r="AC130" s="5"/>
      <c r="AD130" s="5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</row>
    <row r="131" spans="1:1006" x14ac:dyDescent="0.25">
      <c r="A131" s="174" t="s">
        <v>282</v>
      </c>
      <c r="B131" s="48" t="s">
        <v>332</v>
      </c>
      <c r="C131" s="123" t="s">
        <v>640</v>
      </c>
      <c r="D131" s="81" t="s">
        <v>333</v>
      </c>
      <c r="E131" s="49" t="s">
        <v>38</v>
      </c>
      <c r="F131" s="49" t="s">
        <v>34</v>
      </c>
      <c r="G131" s="57" t="s">
        <v>34</v>
      </c>
      <c r="H131" s="49" t="s">
        <v>431</v>
      </c>
      <c r="I131" s="75" t="s">
        <v>34</v>
      </c>
      <c r="J131" s="76">
        <v>0</v>
      </c>
      <c r="K131" s="54">
        <v>46037</v>
      </c>
      <c r="L131" s="49" t="s">
        <v>34</v>
      </c>
      <c r="M131" s="55" t="s">
        <v>34</v>
      </c>
      <c r="N131" s="53">
        <v>480</v>
      </c>
      <c r="O131" s="54">
        <v>46052</v>
      </c>
      <c r="P131" s="49" t="s">
        <v>32</v>
      </c>
      <c r="Q131" s="55" t="s">
        <v>334</v>
      </c>
      <c r="R131" s="53">
        <v>1478.66</v>
      </c>
      <c r="S131" s="54">
        <v>46038</v>
      </c>
      <c r="T131" s="49" t="s">
        <v>32</v>
      </c>
      <c r="U131" s="53">
        <v>2660</v>
      </c>
      <c r="V131" s="54">
        <v>46053</v>
      </c>
      <c r="W131" s="49" t="s">
        <v>32</v>
      </c>
      <c r="X131" s="56" t="s">
        <v>34</v>
      </c>
      <c r="Y131" s="49" t="s">
        <v>34</v>
      </c>
      <c r="Z131" s="76"/>
      <c r="AA131" s="172" t="s">
        <v>35</v>
      </c>
      <c r="AB131" s="6"/>
      <c r="AC131" s="5"/>
      <c r="AD131" s="5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  <c r="AJG131" s="4"/>
      <c r="AJH131" s="4"/>
      <c r="AJI131" s="4"/>
      <c r="AJJ131" s="4"/>
      <c r="AJK131" s="4"/>
      <c r="AJL131" s="4"/>
      <c r="AJM131" s="4"/>
      <c r="AJN131" s="4"/>
      <c r="AJO131" s="4"/>
      <c r="AJP131" s="4"/>
      <c r="AJQ131" s="4"/>
      <c r="AJR131" s="4"/>
      <c r="AJS131" s="4"/>
      <c r="AJT131" s="4"/>
      <c r="AJU131" s="4"/>
      <c r="AJV131" s="4"/>
      <c r="AJW131" s="4"/>
      <c r="AJX131" s="4"/>
      <c r="AJY131" s="4"/>
      <c r="AJZ131" s="4"/>
      <c r="AKA131" s="4"/>
      <c r="AKB131" s="4"/>
      <c r="AKC131" s="4"/>
      <c r="AKD131" s="4"/>
      <c r="AKE131" s="4"/>
      <c r="AKF131" s="4"/>
      <c r="AKG131" s="4"/>
      <c r="AKH131" s="4"/>
      <c r="AKI131" s="4"/>
      <c r="AKJ131" s="4"/>
      <c r="AKK131" s="4"/>
      <c r="AKL131" s="4"/>
      <c r="AKM131" s="4"/>
      <c r="AKN131" s="4"/>
      <c r="AKO131" s="4"/>
      <c r="AKP131" s="4"/>
      <c r="AKQ131" s="4"/>
      <c r="AKR131" s="4"/>
      <c r="AKS131" s="4"/>
      <c r="AKT131" s="4"/>
      <c r="AKU131" s="4"/>
      <c r="AKV131" s="4"/>
      <c r="AKW131" s="4"/>
      <c r="AKX131" s="4"/>
      <c r="AKY131" s="4"/>
      <c r="AKZ131" s="4"/>
      <c r="ALA131" s="4"/>
      <c r="ALB131" s="4"/>
      <c r="ALC131" s="4"/>
      <c r="ALD131" s="4"/>
      <c r="ALE131" s="4"/>
      <c r="ALF131" s="4"/>
      <c r="ALG131" s="4"/>
      <c r="ALH131" s="4"/>
      <c r="ALI131" s="4"/>
      <c r="ALJ131" s="4"/>
      <c r="ALK131" s="4"/>
      <c r="ALL131" s="4"/>
      <c r="ALM131" s="4"/>
      <c r="ALN131" s="4"/>
      <c r="ALO131" s="4"/>
      <c r="ALP131" s="4"/>
      <c r="ALQ131" s="4"/>
      <c r="ALR131" s="4"/>
    </row>
    <row r="132" spans="1:1006" x14ac:dyDescent="0.25">
      <c r="A132" s="171" t="s">
        <v>282</v>
      </c>
      <c r="B132" s="48" t="s">
        <v>335</v>
      </c>
      <c r="C132" s="123" t="s">
        <v>641</v>
      </c>
      <c r="D132" s="81" t="s">
        <v>269</v>
      </c>
      <c r="E132" s="49" t="s">
        <v>38</v>
      </c>
      <c r="F132" s="49" t="s">
        <v>34</v>
      </c>
      <c r="G132" s="57" t="s">
        <v>34</v>
      </c>
      <c r="H132" s="49" t="s">
        <v>431</v>
      </c>
      <c r="I132" s="75" t="s">
        <v>34</v>
      </c>
      <c r="J132" s="53">
        <v>999</v>
      </c>
      <c r="K132" s="54">
        <v>46037</v>
      </c>
      <c r="L132" s="49" t="s">
        <v>32</v>
      </c>
      <c r="M132" s="55" t="s">
        <v>34</v>
      </c>
      <c r="N132" s="53">
        <v>480</v>
      </c>
      <c r="O132" s="54">
        <v>46052</v>
      </c>
      <c r="P132" s="49" t="s">
        <v>32</v>
      </c>
      <c r="Q132" s="55" t="s">
        <v>336</v>
      </c>
      <c r="R132" s="53">
        <v>2022.55</v>
      </c>
      <c r="S132" s="54">
        <v>46038</v>
      </c>
      <c r="T132" s="49" t="s">
        <v>32</v>
      </c>
      <c r="U132" s="53">
        <v>2660</v>
      </c>
      <c r="V132" s="54">
        <v>46053</v>
      </c>
      <c r="W132" s="49" t="s">
        <v>32</v>
      </c>
      <c r="X132" s="56" t="s">
        <v>34</v>
      </c>
      <c r="Y132" s="49" t="s">
        <v>34</v>
      </c>
      <c r="Z132" s="53"/>
      <c r="AA132" s="172" t="s">
        <v>35</v>
      </c>
      <c r="AB132" s="6"/>
      <c r="AC132" s="5"/>
      <c r="AD132" s="5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</row>
    <row r="133" spans="1:1006" x14ac:dyDescent="0.25">
      <c r="A133" s="171" t="s">
        <v>282</v>
      </c>
      <c r="B133" s="48" t="s">
        <v>337</v>
      </c>
      <c r="C133" s="123" t="s">
        <v>642</v>
      </c>
      <c r="D133" s="81" t="s">
        <v>338</v>
      </c>
      <c r="E133" s="49" t="s">
        <v>38</v>
      </c>
      <c r="F133" s="49" t="s">
        <v>34</v>
      </c>
      <c r="G133" s="57" t="s">
        <v>34</v>
      </c>
      <c r="H133" s="49" t="s">
        <v>431</v>
      </c>
      <c r="I133" s="75" t="s">
        <v>34</v>
      </c>
      <c r="J133" s="53">
        <v>999</v>
      </c>
      <c r="K133" s="54">
        <v>46037</v>
      </c>
      <c r="L133" s="49" t="s">
        <v>32</v>
      </c>
      <c r="M133" s="55"/>
      <c r="N133" s="53">
        <v>720</v>
      </c>
      <c r="O133" s="54">
        <v>46052</v>
      </c>
      <c r="P133" s="49" t="s">
        <v>32</v>
      </c>
      <c r="Q133" s="55" t="s">
        <v>339</v>
      </c>
      <c r="R133" s="53">
        <v>2543.73</v>
      </c>
      <c r="S133" s="54">
        <v>46038</v>
      </c>
      <c r="T133" s="49" t="s">
        <v>32</v>
      </c>
      <c r="U133" s="53">
        <v>2518.4499999999998</v>
      </c>
      <c r="V133" s="54">
        <v>46053</v>
      </c>
      <c r="W133" s="49" t="s">
        <v>32</v>
      </c>
      <c r="X133" s="56" t="s">
        <v>34</v>
      </c>
      <c r="Y133" s="49" t="s">
        <v>34</v>
      </c>
      <c r="Z133" s="76"/>
      <c r="AA133" s="172"/>
      <c r="AB133" s="6"/>
      <c r="AC133" s="5"/>
      <c r="AD133" s="5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</row>
    <row r="134" spans="1:1006" x14ac:dyDescent="0.25">
      <c r="A134" s="174" t="s">
        <v>282</v>
      </c>
      <c r="B134" s="48" t="s">
        <v>488</v>
      </c>
      <c r="C134" s="123" t="e">
        <v>#N/A</v>
      </c>
      <c r="D134" s="81" t="s">
        <v>490</v>
      </c>
      <c r="E134" s="49"/>
      <c r="F134" s="49"/>
      <c r="G134" s="57"/>
      <c r="H134" s="49" t="s">
        <v>456</v>
      </c>
      <c r="I134" s="75" t="s">
        <v>489</v>
      </c>
      <c r="J134" s="53">
        <f>1299+3</f>
        <v>1302</v>
      </c>
      <c r="K134" s="54">
        <v>46034</v>
      </c>
      <c r="L134" s="49" t="s">
        <v>32</v>
      </c>
      <c r="M134" s="55"/>
      <c r="N134" s="53"/>
      <c r="O134" s="54"/>
      <c r="P134" s="49"/>
      <c r="Q134" s="55"/>
      <c r="R134" s="53"/>
      <c r="S134" s="54"/>
      <c r="T134" s="49"/>
      <c r="U134" s="53"/>
      <c r="V134" s="54"/>
      <c r="W134" s="49"/>
      <c r="X134" s="56"/>
      <c r="Y134" s="49" t="s">
        <v>34</v>
      </c>
      <c r="Z134" s="76"/>
      <c r="AA134" s="172"/>
      <c r="AB134" s="6"/>
      <c r="AC134" s="5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</row>
    <row r="135" spans="1:1006" x14ac:dyDescent="0.25">
      <c r="A135" s="171" t="s">
        <v>340</v>
      </c>
      <c r="B135" s="55" t="s">
        <v>341</v>
      </c>
      <c r="C135" s="123" t="s">
        <v>605</v>
      </c>
      <c r="D135" s="81" t="s">
        <v>342</v>
      </c>
      <c r="E135" s="49" t="s">
        <v>38</v>
      </c>
      <c r="F135" s="49" t="s">
        <v>34</v>
      </c>
      <c r="G135" s="57" t="s">
        <v>34</v>
      </c>
      <c r="H135" s="49" t="s">
        <v>343</v>
      </c>
      <c r="I135" s="52">
        <v>506432</v>
      </c>
      <c r="J135" s="53">
        <f>1299+10</f>
        <v>1309</v>
      </c>
      <c r="K135" s="54">
        <v>46052</v>
      </c>
      <c r="L135" s="49" t="s">
        <v>32</v>
      </c>
      <c r="M135" s="55"/>
      <c r="N135" s="53">
        <v>600</v>
      </c>
      <c r="O135" s="54">
        <v>46035</v>
      </c>
      <c r="P135" s="49" t="s">
        <v>32</v>
      </c>
      <c r="Q135" s="55" t="s">
        <v>344</v>
      </c>
      <c r="R135" s="53">
        <v>3748.67</v>
      </c>
      <c r="S135" s="54">
        <v>46059</v>
      </c>
      <c r="T135" s="49" t="s">
        <v>32</v>
      </c>
      <c r="U135" s="53">
        <v>2074.85</v>
      </c>
      <c r="V135" s="54">
        <v>46035</v>
      </c>
      <c r="W135" s="49" t="s">
        <v>32</v>
      </c>
      <c r="X135" s="56" t="s">
        <v>34</v>
      </c>
      <c r="Y135" s="49" t="s">
        <v>34</v>
      </c>
      <c r="Z135" s="76"/>
      <c r="AA135" s="172" t="s">
        <v>35</v>
      </c>
      <c r="AB135" s="5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  <c r="AJG135" s="4"/>
      <c r="AJH135" s="4"/>
      <c r="AJI135" s="4"/>
      <c r="AJJ135" s="4"/>
      <c r="AJK135" s="4"/>
      <c r="AJL135" s="4"/>
      <c r="AJM135" s="4"/>
      <c r="AJN135" s="4"/>
      <c r="AJO135" s="4"/>
      <c r="AJP135" s="4"/>
      <c r="AJQ135" s="4"/>
      <c r="AJR135" s="4"/>
      <c r="AJS135" s="4"/>
      <c r="AJT135" s="4"/>
      <c r="AJU135" s="4"/>
      <c r="AJV135" s="4"/>
      <c r="AJW135" s="4"/>
      <c r="AJX135" s="4"/>
      <c r="AJY135" s="4"/>
      <c r="AJZ135" s="4"/>
      <c r="AKA135" s="4"/>
      <c r="AKB135" s="4"/>
      <c r="AKC135" s="4"/>
      <c r="AKD135" s="4"/>
      <c r="AKE135" s="4"/>
      <c r="AKF135" s="4"/>
      <c r="AKG135" s="4"/>
      <c r="AKH135" s="4"/>
      <c r="AKI135" s="4"/>
      <c r="AKJ135" s="4"/>
      <c r="AKK135" s="4"/>
      <c r="AKL135" s="4"/>
      <c r="AKM135" s="4"/>
      <c r="AKN135" s="4"/>
      <c r="AKO135" s="4"/>
      <c r="AKP135" s="4"/>
      <c r="AKQ135" s="4"/>
      <c r="AKR135" s="4"/>
      <c r="AKS135" s="4"/>
      <c r="AKT135" s="4"/>
      <c r="AKU135" s="4"/>
      <c r="AKV135" s="4"/>
      <c r="AKW135" s="4"/>
      <c r="AKX135" s="4"/>
      <c r="AKY135" s="4"/>
      <c r="AKZ135" s="4"/>
      <c r="ALA135" s="4"/>
      <c r="ALB135" s="4"/>
      <c r="ALC135" s="4"/>
      <c r="ALD135" s="4"/>
      <c r="ALE135" s="4"/>
      <c r="ALF135" s="4"/>
      <c r="ALG135" s="4"/>
      <c r="ALH135" s="4"/>
      <c r="ALI135" s="4"/>
      <c r="ALJ135" s="4"/>
      <c r="ALK135" s="4"/>
      <c r="ALL135" s="4"/>
      <c r="ALM135" s="4"/>
      <c r="ALN135" s="4"/>
      <c r="ALO135" s="4"/>
      <c r="ALP135" s="4"/>
      <c r="ALQ135" s="4"/>
      <c r="ALR135" s="4"/>
    </row>
    <row r="136" spans="1:1006" x14ac:dyDescent="0.25">
      <c r="A136" s="171" t="s">
        <v>497</v>
      </c>
      <c r="B136" s="55"/>
      <c r="C136" s="123" t="e">
        <v>#N/A</v>
      </c>
      <c r="D136" s="81"/>
      <c r="E136" s="49"/>
      <c r="F136" s="49"/>
      <c r="G136" s="57"/>
      <c r="H136" s="49" t="s">
        <v>498</v>
      </c>
      <c r="I136" s="52" t="s">
        <v>516</v>
      </c>
      <c r="J136" s="86">
        <v>1302</v>
      </c>
      <c r="K136" s="54">
        <v>46044</v>
      </c>
      <c r="L136" s="49" t="s">
        <v>32</v>
      </c>
      <c r="M136" s="55"/>
      <c r="N136" s="53"/>
      <c r="O136" s="54"/>
      <c r="P136" s="49"/>
      <c r="Q136" s="55"/>
      <c r="R136" s="53"/>
      <c r="S136" s="54"/>
      <c r="T136" s="49"/>
      <c r="U136" s="53"/>
      <c r="V136" s="54"/>
      <c r="W136" s="49"/>
      <c r="X136" s="56"/>
      <c r="Y136" s="49" t="s">
        <v>34</v>
      </c>
      <c r="Z136" s="76"/>
      <c r="AA136" s="172"/>
      <c r="AB136" s="5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/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</row>
    <row r="137" spans="1:1006" x14ac:dyDescent="0.25">
      <c r="A137" s="171" t="s">
        <v>394</v>
      </c>
      <c r="B137" s="55"/>
      <c r="C137" s="123" t="e">
        <v>#N/A</v>
      </c>
      <c r="D137" s="81"/>
      <c r="E137" s="49"/>
      <c r="F137" s="49"/>
      <c r="G137" s="57"/>
      <c r="H137" s="49" t="s">
        <v>432</v>
      </c>
      <c r="I137" s="52">
        <v>1154089797</v>
      </c>
      <c r="J137" s="53">
        <f>599+7</f>
        <v>606</v>
      </c>
      <c r="K137" s="54">
        <v>46027</v>
      </c>
      <c r="L137" s="49" t="s">
        <v>32</v>
      </c>
      <c r="M137" s="55"/>
      <c r="N137" s="53"/>
      <c r="O137" s="54"/>
      <c r="P137" s="49"/>
      <c r="Q137" s="55"/>
      <c r="R137" s="53"/>
      <c r="S137" s="54"/>
      <c r="T137" s="49"/>
      <c r="U137" s="53"/>
      <c r="V137" s="54"/>
      <c r="W137" s="49"/>
      <c r="X137" s="56"/>
      <c r="Y137" s="49" t="s">
        <v>34</v>
      </c>
      <c r="Z137" s="76"/>
      <c r="AA137" s="172"/>
      <c r="AB137" s="5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  <c r="AJG137" s="4"/>
      <c r="AJH137" s="4"/>
      <c r="AJI137" s="4"/>
      <c r="AJJ137" s="4"/>
      <c r="AJK137" s="4"/>
      <c r="AJL137" s="4"/>
      <c r="AJM137" s="4"/>
      <c r="AJN137" s="4"/>
      <c r="AJO137" s="4"/>
      <c r="AJP137" s="4"/>
      <c r="AJQ137" s="4"/>
      <c r="AJR137" s="4"/>
      <c r="AJS137" s="4"/>
      <c r="AJT137" s="4"/>
      <c r="AJU137" s="4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4"/>
      <c r="AKI137" s="4"/>
      <c r="AKJ137" s="4"/>
      <c r="AKK137" s="4"/>
      <c r="AKL137" s="4"/>
      <c r="AKM137" s="4"/>
      <c r="AKN137" s="4"/>
      <c r="AKO137" s="4"/>
      <c r="AKP137" s="4"/>
      <c r="AKQ137" s="4"/>
      <c r="AKR137" s="4"/>
      <c r="AKS137" s="4"/>
      <c r="AKT137" s="4"/>
      <c r="AKU137" s="4"/>
      <c r="AKV137" s="4"/>
      <c r="AKW137" s="4"/>
      <c r="AKX137" s="4"/>
      <c r="AKY137" s="4"/>
      <c r="AKZ137" s="4"/>
      <c r="ALA137" s="4"/>
      <c r="ALB137" s="4"/>
      <c r="ALC137" s="4"/>
      <c r="ALD137" s="4"/>
      <c r="ALE137" s="4"/>
      <c r="ALF137" s="4"/>
      <c r="ALG137" s="4"/>
      <c r="ALH137" s="4"/>
      <c r="ALI137" s="4"/>
      <c r="ALJ137" s="4"/>
      <c r="ALK137" s="4"/>
      <c r="ALL137" s="4"/>
      <c r="ALM137" s="4"/>
      <c r="ALN137" s="4"/>
      <c r="ALO137" s="4"/>
      <c r="ALP137" s="4"/>
      <c r="ALQ137" s="4"/>
      <c r="ALR137" s="4"/>
    </row>
    <row r="138" spans="1:1006" x14ac:dyDescent="0.25">
      <c r="A138" s="171" t="s">
        <v>395</v>
      </c>
      <c r="B138" s="55"/>
      <c r="C138" s="123" t="e">
        <v>#N/A</v>
      </c>
      <c r="D138" s="81"/>
      <c r="E138" s="49"/>
      <c r="F138" s="49"/>
      <c r="G138" s="57"/>
      <c r="H138" s="49" t="s">
        <v>432</v>
      </c>
      <c r="I138" s="52">
        <v>1154089789</v>
      </c>
      <c r="J138" s="53">
        <f>799+7</f>
        <v>806</v>
      </c>
      <c r="K138" s="54">
        <v>46027</v>
      </c>
      <c r="L138" s="49" t="s">
        <v>32</v>
      </c>
      <c r="M138" s="55"/>
      <c r="N138" s="53"/>
      <c r="O138" s="54"/>
      <c r="P138" s="49"/>
      <c r="Q138" s="55"/>
      <c r="R138" s="53"/>
      <c r="S138" s="54"/>
      <c r="T138" s="49"/>
      <c r="U138" s="53"/>
      <c r="V138" s="54"/>
      <c r="W138" s="49"/>
      <c r="X138" s="56"/>
      <c r="Y138" s="49" t="s">
        <v>34</v>
      </c>
      <c r="Z138" s="76"/>
      <c r="AA138" s="172"/>
      <c r="AB138" s="5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</row>
    <row r="139" spans="1:1006" x14ac:dyDescent="0.25">
      <c r="A139" s="174" t="s">
        <v>396</v>
      </c>
      <c r="B139" s="55"/>
      <c r="C139" s="123" t="e">
        <v>#N/A</v>
      </c>
      <c r="D139" s="81"/>
      <c r="E139" s="55"/>
      <c r="F139" s="87"/>
      <c r="G139" s="88"/>
      <c r="H139" s="49" t="s">
        <v>432</v>
      </c>
      <c r="I139" s="52">
        <v>1154089827</v>
      </c>
      <c r="J139" s="76">
        <f>919+7</f>
        <v>926</v>
      </c>
      <c r="K139" s="54">
        <v>46027</v>
      </c>
      <c r="L139" s="49" t="s">
        <v>32</v>
      </c>
      <c r="M139" s="75"/>
      <c r="N139" s="76"/>
      <c r="O139" s="89"/>
      <c r="P139" s="49"/>
      <c r="Q139" s="55"/>
      <c r="R139" s="76"/>
      <c r="S139" s="89"/>
      <c r="T139" s="49"/>
      <c r="U139" s="76"/>
      <c r="V139" s="76" t="s">
        <v>34</v>
      </c>
      <c r="W139" s="49"/>
      <c r="X139" s="56">
        <v>0</v>
      </c>
      <c r="Y139" s="49" t="s">
        <v>34</v>
      </c>
      <c r="Z139" s="76"/>
      <c r="AA139" s="175"/>
      <c r="AB139" s="5">
        <f t="shared" ref="AB139" si="1">N139+U139+Z139</f>
        <v>0</v>
      </c>
    </row>
    <row r="140" spans="1:1006" x14ac:dyDescent="0.25">
      <c r="A140" s="174" t="s">
        <v>499</v>
      </c>
      <c r="B140" s="55"/>
      <c r="C140" s="123" t="e">
        <v>#N/A</v>
      </c>
      <c r="D140" s="81"/>
      <c r="E140" s="55"/>
      <c r="F140" s="87"/>
      <c r="G140" s="88"/>
      <c r="H140" s="49" t="s">
        <v>432</v>
      </c>
      <c r="I140" s="52">
        <v>1154089819</v>
      </c>
      <c r="J140" s="76">
        <f>599+7</f>
        <v>606</v>
      </c>
      <c r="K140" s="54">
        <v>46027</v>
      </c>
      <c r="L140" s="49" t="s">
        <v>32</v>
      </c>
      <c r="M140" s="75"/>
      <c r="N140" s="76"/>
      <c r="O140" s="89"/>
      <c r="P140" s="49"/>
      <c r="Q140" s="55"/>
      <c r="R140" s="76"/>
      <c r="S140" s="89"/>
      <c r="T140" s="49"/>
      <c r="U140" s="76"/>
      <c r="V140" s="76"/>
      <c r="W140" s="49"/>
      <c r="X140" s="56"/>
      <c r="Y140" s="49" t="s">
        <v>34</v>
      </c>
      <c r="Z140" s="76"/>
      <c r="AA140" s="175"/>
      <c r="AB140" s="5"/>
    </row>
    <row r="141" spans="1:1006" x14ac:dyDescent="0.25">
      <c r="A141" s="174" t="s">
        <v>453</v>
      </c>
      <c r="B141" s="55"/>
      <c r="C141" s="123" t="e">
        <v>#N/A</v>
      </c>
      <c r="D141" s="81" t="s">
        <v>485</v>
      </c>
      <c r="E141" s="55"/>
      <c r="F141" s="87"/>
      <c r="G141" s="88"/>
      <c r="H141" s="49" t="s">
        <v>452</v>
      </c>
      <c r="I141" s="52" t="s">
        <v>448</v>
      </c>
      <c r="J141" s="76"/>
      <c r="K141" s="54">
        <v>46035</v>
      </c>
      <c r="L141" s="49" t="s">
        <v>34</v>
      </c>
      <c r="M141" s="75"/>
      <c r="N141" s="76"/>
      <c r="O141" s="89"/>
      <c r="P141" s="49"/>
      <c r="Q141" s="55"/>
      <c r="R141" s="76"/>
      <c r="S141" s="89"/>
      <c r="T141" s="49"/>
      <c r="U141" s="76"/>
      <c r="V141" s="76"/>
      <c r="W141" s="49"/>
      <c r="X141" s="56"/>
      <c r="Y141" s="49" t="s">
        <v>34</v>
      </c>
      <c r="Z141" s="76"/>
      <c r="AA141" s="175"/>
      <c r="AB141" s="5"/>
    </row>
    <row r="142" spans="1:1006" x14ac:dyDescent="0.25">
      <c r="A142" s="174" t="s">
        <v>453</v>
      </c>
      <c r="B142" s="55"/>
      <c r="C142" s="123" t="e">
        <v>#N/A</v>
      </c>
      <c r="D142" s="81"/>
      <c r="E142" s="55"/>
      <c r="F142" s="87"/>
      <c r="G142" s="88"/>
      <c r="H142" s="49" t="s">
        <v>423</v>
      </c>
      <c r="I142" s="52" t="s">
        <v>447</v>
      </c>
      <c r="J142" s="76">
        <v>1299</v>
      </c>
      <c r="K142" s="54">
        <v>46041</v>
      </c>
      <c r="L142" s="49" t="s">
        <v>32</v>
      </c>
      <c r="M142" s="75"/>
      <c r="N142" s="76"/>
      <c r="O142" s="89"/>
      <c r="P142" s="49"/>
      <c r="Q142" s="55"/>
      <c r="R142" s="76"/>
      <c r="S142" s="89"/>
      <c r="T142" s="49"/>
      <c r="U142" s="76"/>
      <c r="V142" s="76"/>
      <c r="W142" s="49"/>
      <c r="X142" s="56"/>
      <c r="Y142" s="49" t="s">
        <v>34</v>
      </c>
      <c r="Z142" s="76"/>
      <c r="AA142" s="175"/>
      <c r="AB142" s="5"/>
    </row>
    <row r="143" spans="1:1006" x14ac:dyDescent="0.25">
      <c r="A143" s="174" t="s">
        <v>397</v>
      </c>
      <c r="B143" s="55"/>
      <c r="C143" s="123" t="e">
        <v>#N/A</v>
      </c>
      <c r="D143" s="81"/>
      <c r="E143" s="55"/>
      <c r="F143" s="87"/>
      <c r="G143" s="88"/>
      <c r="H143" s="49" t="s">
        <v>398</v>
      </c>
      <c r="I143" s="52" t="s">
        <v>399</v>
      </c>
      <c r="J143" s="76">
        <f>181*2</f>
        <v>362</v>
      </c>
      <c r="K143" s="54">
        <v>46043</v>
      </c>
      <c r="L143" s="49" t="s">
        <v>32</v>
      </c>
      <c r="M143" s="75"/>
      <c r="N143" s="76"/>
      <c r="O143" s="89"/>
      <c r="P143" s="49"/>
      <c r="Q143" s="55"/>
      <c r="R143" s="76"/>
      <c r="S143" s="89"/>
      <c r="T143" s="49"/>
      <c r="U143" s="76"/>
      <c r="V143" s="76"/>
      <c r="W143" s="49"/>
      <c r="X143" s="56"/>
      <c r="Y143" s="49" t="s">
        <v>34</v>
      </c>
      <c r="Z143" s="76"/>
      <c r="AA143" s="175"/>
      <c r="AB143" s="5"/>
    </row>
    <row r="144" spans="1:1006" x14ac:dyDescent="0.25">
      <c r="A144" s="174" t="s">
        <v>520</v>
      </c>
      <c r="B144" s="55"/>
      <c r="C144" s="123" t="e">
        <v>#N/A</v>
      </c>
      <c r="D144" s="81"/>
      <c r="E144" s="55"/>
      <c r="F144" s="87"/>
      <c r="G144" s="88"/>
      <c r="H144" s="49" t="s">
        <v>398</v>
      </c>
      <c r="I144" s="52" t="s">
        <v>400</v>
      </c>
      <c r="J144" s="76">
        <f t="shared" ref="J144:J147" si="2">181*2</f>
        <v>362</v>
      </c>
      <c r="K144" s="54">
        <v>46043</v>
      </c>
      <c r="L144" s="49" t="s">
        <v>32</v>
      </c>
      <c r="M144" s="75"/>
      <c r="N144" s="76"/>
      <c r="O144" s="89"/>
      <c r="P144" s="49"/>
      <c r="Q144" s="55"/>
      <c r="R144" s="76"/>
      <c r="S144" s="89"/>
      <c r="T144" s="49"/>
      <c r="U144" s="76"/>
      <c r="V144" s="76"/>
      <c r="W144" s="49"/>
      <c r="X144" s="56"/>
      <c r="Y144" s="49" t="s">
        <v>34</v>
      </c>
      <c r="Z144" s="76"/>
      <c r="AA144" s="175"/>
      <c r="AB144" s="5"/>
    </row>
    <row r="145" spans="1:29" x14ac:dyDescent="0.25">
      <c r="A145" s="174" t="s">
        <v>401</v>
      </c>
      <c r="B145" s="55"/>
      <c r="C145" s="123" t="e">
        <v>#N/A</v>
      </c>
      <c r="D145" s="81"/>
      <c r="E145" s="55"/>
      <c r="F145" s="87"/>
      <c r="G145" s="88"/>
      <c r="H145" s="49" t="s">
        <v>398</v>
      </c>
      <c r="I145" s="52" t="s">
        <v>426</v>
      </c>
      <c r="J145" s="76">
        <f t="shared" si="2"/>
        <v>362</v>
      </c>
      <c r="K145" s="54">
        <v>46043</v>
      </c>
      <c r="L145" s="49" t="s">
        <v>32</v>
      </c>
      <c r="M145" s="75"/>
      <c r="N145" s="76"/>
      <c r="O145" s="89"/>
      <c r="P145" s="49"/>
      <c r="Q145" s="55"/>
      <c r="R145" s="76"/>
      <c r="S145" s="89"/>
      <c r="T145" s="49"/>
      <c r="U145" s="76"/>
      <c r="V145" s="76"/>
      <c r="W145" s="49"/>
      <c r="X145" s="56"/>
      <c r="Y145" s="49" t="s">
        <v>34</v>
      </c>
      <c r="Z145" s="76"/>
      <c r="AA145" s="175"/>
      <c r="AB145" s="5"/>
    </row>
    <row r="146" spans="1:29" x14ac:dyDescent="0.25">
      <c r="A146" s="174" t="s">
        <v>445</v>
      </c>
      <c r="B146" s="55"/>
      <c r="C146" s="123" t="e">
        <v>#N/A</v>
      </c>
      <c r="D146" s="81"/>
      <c r="E146" s="55"/>
      <c r="F146" s="87"/>
      <c r="G146" s="88"/>
      <c r="H146" s="49" t="s">
        <v>398</v>
      </c>
      <c r="I146" s="52" t="s">
        <v>425</v>
      </c>
      <c r="J146" s="76">
        <f t="shared" si="2"/>
        <v>362</v>
      </c>
      <c r="K146" s="54">
        <v>46043</v>
      </c>
      <c r="L146" s="49" t="s">
        <v>32</v>
      </c>
      <c r="M146" s="75"/>
      <c r="N146" s="76"/>
      <c r="O146" s="89"/>
      <c r="P146" s="49"/>
      <c r="Q146" s="55"/>
      <c r="R146" s="76"/>
      <c r="S146" s="89"/>
      <c r="T146" s="49"/>
      <c r="U146" s="76"/>
      <c r="V146" s="76"/>
      <c r="W146" s="49"/>
      <c r="X146" s="56"/>
      <c r="Y146" s="49" t="s">
        <v>34</v>
      </c>
      <c r="Z146" s="76"/>
      <c r="AA146" s="175"/>
      <c r="AB146" s="5"/>
    </row>
    <row r="147" spans="1:29" x14ac:dyDescent="0.25">
      <c r="A147" s="174" t="s">
        <v>446</v>
      </c>
      <c r="B147" s="55"/>
      <c r="C147" s="123" t="e">
        <v>#N/A</v>
      </c>
      <c r="D147" s="81"/>
      <c r="E147" s="55"/>
      <c r="F147" s="87"/>
      <c r="G147" s="88"/>
      <c r="H147" s="49" t="s">
        <v>398</v>
      </c>
      <c r="I147" s="52" t="s">
        <v>427</v>
      </c>
      <c r="J147" s="76">
        <f t="shared" si="2"/>
        <v>362</v>
      </c>
      <c r="K147" s="54">
        <v>46043</v>
      </c>
      <c r="L147" s="49" t="s">
        <v>32</v>
      </c>
      <c r="M147" s="75"/>
      <c r="N147" s="76"/>
      <c r="O147" s="89"/>
      <c r="P147" s="49"/>
      <c r="Q147" s="55"/>
      <c r="R147" s="76"/>
      <c r="S147" s="89"/>
      <c r="T147" s="49"/>
      <c r="U147" s="76"/>
      <c r="V147" s="76"/>
      <c r="W147" s="49"/>
      <c r="X147" s="56"/>
      <c r="Y147" s="49" t="s">
        <v>34</v>
      </c>
      <c r="Z147" s="76"/>
      <c r="AA147" s="175"/>
      <c r="AB147" s="5"/>
    </row>
    <row r="148" spans="1:29" x14ac:dyDescent="0.25">
      <c r="A148" s="174" t="s">
        <v>449</v>
      </c>
      <c r="B148" s="55"/>
      <c r="C148" s="123" t="e">
        <v>#N/A</v>
      </c>
      <c r="D148" s="81"/>
      <c r="E148" s="55"/>
      <c r="F148" s="87"/>
      <c r="G148" s="88"/>
      <c r="H148" s="49" t="s">
        <v>398</v>
      </c>
      <c r="I148" s="52" t="s">
        <v>428</v>
      </c>
      <c r="J148" s="76">
        <v>0</v>
      </c>
      <c r="K148" s="54">
        <v>46043</v>
      </c>
      <c r="L148" s="49" t="s">
        <v>34</v>
      </c>
      <c r="M148" s="75"/>
      <c r="N148" s="76"/>
      <c r="O148" s="89"/>
      <c r="P148" s="49"/>
      <c r="Q148" s="55"/>
      <c r="R148" s="76"/>
      <c r="S148" s="89"/>
      <c r="T148" s="49"/>
      <c r="U148" s="76"/>
      <c r="V148" s="76"/>
      <c r="W148" s="49"/>
      <c r="X148" s="56"/>
      <c r="Y148" s="49" t="s">
        <v>34</v>
      </c>
      <c r="Z148" s="76"/>
      <c r="AA148" s="175"/>
      <c r="AB148" s="5"/>
    </row>
    <row r="149" spans="1:29" x14ac:dyDescent="0.25">
      <c r="A149" s="174" t="s">
        <v>455</v>
      </c>
      <c r="B149" s="55"/>
      <c r="C149" s="123" t="e">
        <v>#N/A</v>
      </c>
      <c r="D149" s="81"/>
      <c r="E149" s="55"/>
      <c r="F149" s="87"/>
      <c r="G149" s="88"/>
      <c r="H149" s="52" t="s">
        <v>424</v>
      </c>
      <c r="I149" s="52" t="s">
        <v>433</v>
      </c>
      <c r="J149" s="76">
        <v>790</v>
      </c>
      <c r="K149" s="54">
        <v>46051</v>
      </c>
      <c r="L149" s="49" t="s">
        <v>34</v>
      </c>
      <c r="M149" s="75"/>
      <c r="N149" s="76"/>
      <c r="O149" s="89"/>
      <c r="P149" s="49"/>
      <c r="Q149" s="55"/>
      <c r="R149" s="76"/>
      <c r="S149" s="89"/>
      <c r="T149" s="49"/>
      <c r="U149" s="76"/>
      <c r="V149" s="76"/>
      <c r="W149" s="49"/>
      <c r="X149" s="56"/>
      <c r="Y149" s="49" t="s">
        <v>34</v>
      </c>
      <c r="Z149" s="76"/>
      <c r="AA149" s="175"/>
      <c r="AB149" s="5"/>
    </row>
    <row r="150" spans="1:29" x14ac:dyDescent="0.25">
      <c r="A150" s="174" t="s">
        <v>402</v>
      </c>
      <c r="B150" s="55"/>
      <c r="C150" s="123" t="e">
        <v>#N/A</v>
      </c>
      <c r="D150" s="81"/>
      <c r="E150" s="55"/>
      <c r="F150" s="87"/>
      <c r="G150" s="88"/>
      <c r="H150" s="49" t="s">
        <v>403</v>
      </c>
      <c r="I150" s="52">
        <v>505653</v>
      </c>
      <c r="J150" s="76">
        <v>5199</v>
      </c>
      <c r="K150" s="54">
        <v>46037</v>
      </c>
      <c r="L150" s="49" t="s">
        <v>32</v>
      </c>
      <c r="M150" s="75"/>
      <c r="N150" s="76"/>
      <c r="O150" s="89"/>
      <c r="P150" s="49"/>
      <c r="Q150" s="55"/>
      <c r="R150" s="76"/>
      <c r="S150" s="89"/>
      <c r="T150" s="49"/>
      <c r="U150" s="76"/>
      <c r="V150" s="76"/>
      <c r="W150" s="49"/>
      <c r="X150" s="56"/>
      <c r="Y150" s="49" t="s">
        <v>34</v>
      </c>
      <c r="Z150" s="76"/>
      <c r="AA150" s="175"/>
      <c r="AB150" s="5"/>
    </row>
    <row r="151" spans="1:29" x14ac:dyDescent="0.25">
      <c r="A151" s="174" t="s">
        <v>402</v>
      </c>
      <c r="B151" s="55"/>
      <c r="C151" s="123" t="e">
        <v>#N/A</v>
      </c>
      <c r="D151" s="81"/>
      <c r="E151" s="55"/>
      <c r="F151" s="87"/>
      <c r="G151" s="88"/>
      <c r="H151" s="49" t="s">
        <v>404</v>
      </c>
      <c r="I151" s="75" t="s">
        <v>405</v>
      </c>
      <c r="J151" s="76">
        <f>3000+10</f>
        <v>3010</v>
      </c>
      <c r="K151" s="54">
        <v>46037</v>
      </c>
      <c r="L151" s="49" t="s">
        <v>32</v>
      </c>
      <c r="M151" s="75"/>
      <c r="N151" s="76"/>
      <c r="O151" s="89"/>
      <c r="P151" s="49"/>
      <c r="Q151" s="55"/>
      <c r="R151" s="76"/>
      <c r="S151" s="89"/>
      <c r="T151" s="49"/>
      <c r="U151" s="76"/>
      <c r="V151" s="76" t="s">
        <v>34</v>
      </c>
      <c r="W151" s="49"/>
      <c r="X151" s="56"/>
      <c r="Y151" s="49" t="s">
        <v>34</v>
      </c>
      <c r="Z151" s="76"/>
      <c r="AA151" s="175"/>
    </row>
    <row r="152" spans="1:29" s="13" customFormat="1" ht="15.75" thickBot="1" x14ac:dyDescent="0.3">
      <c r="A152" s="183" t="s">
        <v>505</v>
      </c>
      <c r="B152" s="90"/>
      <c r="C152" s="184" t="e">
        <v>#N/A</v>
      </c>
      <c r="D152" s="185"/>
      <c r="E152" s="90"/>
      <c r="F152" s="186"/>
      <c r="G152" s="187"/>
      <c r="H152" s="188" t="s">
        <v>142</v>
      </c>
      <c r="I152" s="92" t="s">
        <v>524</v>
      </c>
      <c r="J152" s="91">
        <v>599</v>
      </c>
      <c r="K152" s="93">
        <v>46037</v>
      </c>
      <c r="L152" s="188" t="s">
        <v>32</v>
      </c>
      <c r="M152" s="92"/>
      <c r="N152" s="91"/>
      <c r="O152" s="94"/>
      <c r="P152" s="188"/>
      <c r="Q152" s="90"/>
      <c r="R152" s="91"/>
      <c r="S152" s="94"/>
      <c r="T152" s="188"/>
      <c r="U152" s="91"/>
      <c r="V152" s="91"/>
      <c r="W152" s="188"/>
      <c r="X152" s="189"/>
      <c r="Y152" s="188" t="s">
        <v>34</v>
      </c>
      <c r="Z152" s="91"/>
      <c r="AA152" s="190"/>
      <c r="AB152" s="46"/>
    </row>
    <row r="153" spans="1:29" ht="14.25" customHeight="1" thickBot="1" x14ac:dyDescent="0.3">
      <c r="A153" s="144"/>
      <c r="B153" s="145" t="s">
        <v>345</v>
      </c>
      <c r="C153" s="146"/>
      <c r="D153" s="147"/>
      <c r="E153" s="148"/>
      <c r="F153" s="149">
        <f>SUBTOTAL(9,F3:F151)</f>
        <v>430500</v>
      </c>
      <c r="G153" s="150">
        <f>SUBTOTAL(9,G3:G151)</f>
        <v>421020.7</v>
      </c>
      <c r="H153" s="151"/>
      <c r="I153" s="152"/>
      <c r="J153" s="153">
        <f>SUBTOTAL(9,J3:J151)</f>
        <v>168524.75</v>
      </c>
      <c r="K153" s="154"/>
      <c r="L153" s="148"/>
      <c r="M153" s="155"/>
      <c r="N153" s="153">
        <f>SUBTOTAL(9,N3:N151)</f>
        <v>78205.550000000017</v>
      </c>
      <c r="O153" s="156"/>
      <c r="P153" s="148"/>
      <c r="Q153" s="145"/>
      <c r="R153" s="153">
        <f>SUBTOTAL(9,R3:R151)</f>
        <v>400148.11</v>
      </c>
      <c r="S153" s="156"/>
      <c r="T153" s="148"/>
      <c r="U153" s="153">
        <f>SUBTOTAL(9,U3:U151)</f>
        <v>392648.25999999995</v>
      </c>
      <c r="V153" s="153"/>
      <c r="W153" s="148"/>
      <c r="X153" s="157">
        <f>SUBTOTAL(9,X3:X151)</f>
        <v>45752.619999999995</v>
      </c>
      <c r="Y153" s="153"/>
      <c r="Z153" s="153">
        <f>SUBTOTAL(9,Z3:Z151)</f>
        <v>0</v>
      </c>
      <c r="AA153" s="148"/>
      <c r="AB153" s="6"/>
      <c r="AC153" s="5"/>
    </row>
    <row r="154" spans="1:29" ht="14.25" customHeight="1" x14ac:dyDescent="0.25">
      <c r="D154" s="116"/>
      <c r="F154" s="96"/>
      <c r="G154" s="97"/>
      <c r="H154" s="98"/>
      <c r="I154" s="99"/>
      <c r="J154" s="100">
        <f>J153-J31</f>
        <v>167118.75</v>
      </c>
      <c r="K154" s="101"/>
      <c r="M154" s="99"/>
      <c r="N154" s="100"/>
      <c r="O154" s="102"/>
      <c r="Q154" s="103"/>
      <c r="R154" s="100"/>
      <c r="S154" s="102"/>
      <c r="U154" s="100"/>
      <c r="V154" s="100"/>
      <c r="X154" s="104"/>
      <c r="Z154" s="100"/>
    </row>
    <row r="155" spans="1:29" ht="14.25" customHeight="1" x14ac:dyDescent="0.25">
      <c r="D155" s="117"/>
      <c r="F155" s="96"/>
      <c r="G155" s="97"/>
      <c r="H155" s="98"/>
      <c r="I155" s="99"/>
      <c r="J155" s="100"/>
      <c r="K155" s="105"/>
      <c r="M155" s="99"/>
      <c r="N155" s="100">
        <f>SUBTOTAL(9,N3:N153)</f>
        <v>78205.550000000017</v>
      </c>
      <c r="O155" s="102"/>
      <c r="Q155" s="103"/>
      <c r="R155" s="100"/>
      <c r="S155" s="102"/>
      <c r="U155" s="100"/>
      <c r="V155" s="100"/>
      <c r="X155" s="104"/>
      <c r="Z155" s="100"/>
    </row>
    <row r="156" spans="1:29" ht="14.25" customHeight="1" x14ac:dyDescent="0.25">
      <c r="A156" s="95" t="s">
        <v>518</v>
      </c>
      <c r="D156" s="116"/>
      <c r="F156" s="96"/>
      <c r="G156" s="97"/>
      <c r="H156" s="98"/>
      <c r="I156" s="106"/>
      <c r="J156" s="100"/>
      <c r="K156" s="101"/>
      <c r="M156" s="99"/>
      <c r="N156" s="100"/>
      <c r="O156" s="102"/>
      <c r="Q156" s="103"/>
      <c r="R156" s="100">
        <f>R68*5/31</f>
        <v>247.45967741935485</v>
      </c>
      <c r="S156" s="102"/>
      <c r="U156" s="100"/>
      <c r="V156" s="100"/>
      <c r="X156" s="107"/>
      <c r="Z156" s="108"/>
      <c r="AC156" s="7"/>
    </row>
    <row r="157" spans="1:29" ht="14.25" customHeight="1" x14ac:dyDescent="0.25">
      <c r="D157" s="116"/>
      <c r="F157" s="96"/>
      <c r="G157" s="97"/>
      <c r="H157" s="98"/>
      <c r="I157" s="99"/>
      <c r="J157" s="100"/>
      <c r="K157" s="101"/>
      <c r="M157" s="99"/>
      <c r="N157" s="108" t="s">
        <v>346</v>
      </c>
      <c r="O157" s="102"/>
      <c r="Q157" s="103"/>
      <c r="R157" s="100"/>
      <c r="S157" s="102"/>
      <c r="U157" s="108">
        <f>N153+U153</f>
        <v>470853.80999999994</v>
      </c>
      <c r="V157" s="100"/>
      <c r="X157" s="104">
        <f>N153+U153+X153</f>
        <v>516606.42999999993</v>
      </c>
      <c r="Z157" s="100"/>
    </row>
    <row r="158" spans="1:29" ht="14.25" customHeight="1" x14ac:dyDescent="0.25">
      <c r="A158" s="44" t="s">
        <v>513</v>
      </c>
      <c r="C158" s="124"/>
      <c r="D158" s="116"/>
      <c r="F158" s="96"/>
      <c r="G158" s="97"/>
      <c r="H158" s="98"/>
      <c r="I158" s="99"/>
      <c r="J158" s="100"/>
      <c r="K158" s="101"/>
      <c r="M158" s="99"/>
      <c r="N158" s="100"/>
      <c r="O158" s="102"/>
      <c r="Q158" s="103"/>
      <c r="R158" s="100"/>
      <c r="S158" s="102"/>
      <c r="U158" s="100"/>
      <c r="V158" s="100"/>
      <c r="X158" s="104"/>
      <c r="Z158" s="100"/>
    </row>
    <row r="159" spans="1:29" ht="14.25" customHeight="1" x14ac:dyDescent="0.25">
      <c r="D159" s="116"/>
      <c r="F159" s="96"/>
      <c r="G159" s="97"/>
      <c r="H159" s="98"/>
      <c r="I159" s="99"/>
      <c r="J159" s="100"/>
      <c r="K159" s="101"/>
      <c r="M159" s="99"/>
      <c r="N159" s="100"/>
      <c r="O159" s="102"/>
      <c r="Q159" s="103"/>
      <c r="R159" s="100"/>
      <c r="S159" s="102"/>
      <c r="U159" s="100"/>
      <c r="V159" s="100"/>
      <c r="X159" s="104"/>
      <c r="Z159" s="100"/>
      <c r="AC159" s="8"/>
    </row>
    <row r="160" spans="1:29" ht="14.25" customHeight="1" x14ac:dyDescent="0.25">
      <c r="D160" s="116"/>
      <c r="F160" s="96"/>
      <c r="G160" s="97"/>
      <c r="H160" s="98"/>
      <c r="I160" s="99"/>
      <c r="J160" s="100"/>
      <c r="K160" s="101"/>
      <c r="M160" s="99"/>
      <c r="N160" s="100"/>
      <c r="O160" s="102"/>
      <c r="Q160" s="103"/>
      <c r="R160" s="100"/>
      <c r="S160" s="102"/>
      <c r="U160" s="100"/>
      <c r="V160" s="100"/>
      <c r="X160" s="104"/>
      <c r="Z160" s="100"/>
    </row>
    <row r="161" spans="4:26" ht="14.25" customHeight="1" x14ac:dyDescent="0.25">
      <c r="D161" s="116"/>
      <c r="F161" s="96"/>
      <c r="G161" s="97"/>
      <c r="H161" s="98"/>
      <c r="I161" s="99"/>
      <c r="J161" s="100"/>
      <c r="K161" s="101"/>
      <c r="M161" s="99"/>
      <c r="N161" s="100"/>
      <c r="O161" s="102"/>
      <c r="Q161" s="103"/>
      <c r="R161" s="100"/>
      <c r="S161" s="102"/>
      <c r="U161" s="100"/>
      <c r="V161" s="100"/>
      <c r="X161" s="104"/>
      <c r="Z161" s="100"/>
    </row>
    <row r="162" spans="4:26" ht="14.25" customHeight="1" x14ac:dyDescent="0.25">
      <c r="D162" s="116"/>
      <c r="F162" s="96"/>
      <c r="G162" s="97"/>
      <c r="H162" s="98"/>
      <c r="I162" s="99"/>
      <c r="J162" s="100"/>
      <c r="K162" s="109"/>
      <c r="M162" s="99"/>
      <c r="N162" s="100"/>
      <c r="O162" s="102"/>
      <c r="Q162" s="103"/>
      <c r="R162" s="100"/>
      <c r="S162" s="102"/>
      <c r="U162" s="100"/>
      <c r="V162" s="100"/>
      <c r="X162" s="104"/>
      <c r="Z162" s="100"/>
    </row>
    <row r="163" spans="4:26" ht="14.25" customHeight="1" x14ac:dyDescent="0.25">
      <c r="D163" s="116"/>
      <c r="F163" s="96"/>
      <c r="G163" s="97"/>
      <c r="H163" s="98"/>
      <c r="I163" s="99"/>
      <c r="J163" s="100"/>
      <c r="K163" s="101"/>
      <c r="M163" s="99"/>
      <c r="N163" s="100"/>
      <c r="O163" s="102"/>
      <c r="Q163" s="103"/>
      <c r="R163" s="100"/>
      <c r="S163" s="102"/>
      <c r="U163" s="100"/>
      <c r="V163" s="100"/>
      <c r="X163" s="104"/>
      <c r="Z163" s="100"/>
    </row>
    <row r="164" spans="4:26" ht="14.25" customHeight="1" x14ac:dyDescent="0.25">
      <c r="D164" s="116"/>
      <c r="F164" s="96"/>
      <c r="G164" s="97"/>
      <c r="H164" s="98"/>
      <c r="I164" s="99"/>
      <c r="J164" s="100"/>
      <c r="K164" s="101"/>
      <c r="M164" s="99"/>
      <c r="N164" s="100"/>
      <c r="O164" s="102"/>
      <c r="Q164" s="103"/>
      <c r="R164" s="100"/>
      <c r="S164" s="102"/>
      <c r="U164" s="100"/>
      <c r="V164" s="100"/>
      <c r="X164" s="104"/>
      <c r="Z164" s="100"/>
    </row>
    <row r="165" spans="4:26" ht="14.25" customHeight="1" x14ac:dyDescent="0.25">
      <c r="D165" s="116"/>
      <c r="F165" s="96"/>
      <c r="G165" s="97"/>
      <c r="H165" s="98"/>
      <c r="I165" s="99"/>
      <c r="J165" s="100"/>
      <c r="K165" s="101"/>
      <c r="M165" s="99"/>
      <c r="N165" s="100"/>
      <c r="O165" s="102"/>
      <c r="Q165" s="103"/>
      <c r="R165" s="100"/>
      <c r="S165" s="102"/>
      <c r="U165" s="100"/>
      <c r="V165" s="100"/>
      <c r="X165" s="104"/>
      <c r="Z165" s="100"/>
    </row>
    <row r="166" spans="4:26" ht="14.25" customHeight="1" x14ac:dyDescent="0.25">
      <c r="D166" s="116"/>
      <c r="F166" s="96"/>
      <c r="G166" s="97"/>
      <c r="H166" s="98"/>
      <c r="I166" s="99"/>
      <c r="J166" s="100"/>
      <c r="K166" s="101"/>
      <c r="M166" s="99"/>
      <c r="N166" s="100"/>
      <c r="O166" s="102"/>
      <c r="Q166" s="103"/>
      <c r="R166" s="100"/>
      <c r="S166" s="102"/>
      <c r="U166" s="100"/>
      <c r="V166" s="100"/>
      <c r="X166" s="104"/>
      <c r="Z166" s="100"/>
    </row>
    <row r="167" spans="4:26" ht="14.25" customHeight="1" x14ac:dyDescent="0.25">
      <c r="D167" s="116"/>
      <c r="F167" s="96"/>
      <c r="G167" s="97"/>
      <c r="H167" s="98"/>
      <c r="I167" s="99"/>
      <c r="J167" s="100"/>
      <c r="K167" s="101"/>
      <c r="M167" s="99"/>
      <c r="N167" s="100"/>
      <c r="O167" s="102"/>
      <c r="Q167" s="103"/>
      <c r="R167" s="100"/>
      <c r="S167" s="102"/>
      <c r="U167" s="100"/>
      <c r="V167" s="100"/>
      <c r="X167" s="104"/>
      <c r="Z167" s="100"/>
    </row>
    <row r="168" spans="4:26" ht="14.25" customHeight="1" x14ac:dyDescent="0.25">
      <c r="D168" s="116"/>
      <c r="F168" s="96"/>
      <c r="G168" s="97"/>
      <c r="H168" s="98"/>
      <c r="I168" s="99"/>
      <c r="J168" s="100"/>
      <c r="K168" s="101"/>
      <c r="M168" s="99"/>
      <c r="N168" s="100"/>
      <c r="O168" s="102"/>
      <c r="Q168" s="103"/>
      <c r="R168" s="100"/>
      <c r="S168" s="102"/>
      <c r="U168" s="100"/>
      <c r="V168" s="100"/>
      <c r="X168" s="104"/>
      <c r="Z168" s="100"/>
    </row>
    <row r="169" spans="4:26" ht="14.25" customHeight="1" x14ac:dyDescent="0.25">
      <c r="D169" s="116"/>
      <c r="F169" s="96"/>
      <c r="G169" s="97"/>
      <c r="H169" s="98"/>
      <c r="I169" s="99"/>
      <c r="J169" s="100"/>
      <c r="K169" s="101"/>
      <c r="M169" s="99"/>
      <c r="N169" s="100"/>
      <c r="O169" s="102"/>
      <c r="Q169" s="103"/>
      <c r="R169" s="100"/>
      <c r="S169" s="102"/>
      <c r="U169" s="100"/>
      <c r="V169" s="100"/>
      <c r="X169" s="104"/>
      <c r="Z169" s="100"/>
    </row>
    <row r="170" spans="4:26" ht="14.25" customHeight="1" x14ac:dyDescent="0.25">
      <c r="D170" s="116"/>
      <c r="F170" s="96"/>
      <c r="G170" s="97"/>
      <c r="H170" s="98"/>
      <c r="I170" s="99"/>
      <c r="J170" s="100"/>
      <c r="K170" s="101"/>
      <c r="M170" s="99"/>
      <c r="N170" s="100"/>
      <c r="O170" s="102"/>
      <c r="Q170" s="103"/>
      <c r="R170" s="100"/>
      <c r="S170" s="102"/>
      <c r="U170" s="100"/>
      <c r="V170" s="100"/>
      <c r="X170" s="104"/>
      <c r="Z170" s="100"/>
    </row>
    <row r="171" spans="4:26" ht="14.25" customHeight="1" x14ac:dyDescent="0.25">
      <c r="D171" s="116"/>
      <c r="F171" s="96"/>
      <c r="G171" s="97"/>
      <c r="H171" s="98"/>
      <c r="I171" s="99"/>
      <c r="J171" s="100"/>
      <c r="K171" s="101"/>
      <c r="M171" s="99"/>
      <c r="N171" s="100"/>
      <c r="O171" s="102"/>
      <c r="Q171" s="103"/>
      <c r="R171" s="100"/>
      <c r="S171" s="102"/>
      <c r="U171" s="100"/>
      <c r="V171" s="100"/>
      <c r="X171" s="104"/>
      <c r="Z171" s="100"/>
    </row>
    <row r="172" spans="4:26" ht="14.25" customHeight="1" x14ac:dyDescent="0.25">
      <c r="D172" s="116"/>
      <c r="F172" s="96"/>
      <c r="G172" s="97"/>
      <c r="H172" s="98"/>
      <c r="I172" s="99"/>
      <c r="J172" s="100"/>
      <c r="K172" s="101"/>
      <c r="M172" s="99"/>
      <c r="N172" s="100"/>
      <c r="O172" s="102"/>
      <c r="Q172" s="103"/>
      <c r="R172" s="100"/>
      <c r="S172" s="102"/>
      <c r="U172" s="100"/>
      <c r="V172" s="100"/>
      <c r="X172" s="104"/>
      <c r="Z172" s="100"/>
    </row>
    <row r="173" spans="4:26" ht="14.25" customHeight="1" x14ac:dyDescent="0.25">
      <c r="D173" s="116"/>
      <c r="F173" s="96"/>
      <c r="G173" s="97"/>
      <c r="H173" s="98"/>
      <c r="I173" s="99"/>
      <c r="J173" s="100"/>
      <c r="K173" s="101"/>
      <c r="M173" s="99"/>
      <c r="N173" s="100"/>
      <c r="O173" s="102"/>
      <c r="Q173" s="103"/>
      <c r="R173" s="100"/>
      <c r="S173" s="102"/>
      <c r="U173" s="100"/>
      <c r="V173" s="100"/>
      <c r="X173" s="104"/>
      <c r="Z173" s="100"/>
    </row>
    <row r="174" spans="4:26" ht="14.25" customHeight="1" x14ac:dyDescent="0.25">
      <c r="D174" s="116"/>
      <c r="F174" s="96"/>
      <c r="G174" s="97"/>
      <c r="H174" s="98"/>
      <c r="I174" s="99"/>
      <c r="J174" s="100"/>
      <c r="K174" s="101"/>
      <c r="M174" s="99"/>
      <c r="N174" s="100"/>
      <c r="O174" s="102"/>
      <c r="Q174" s="103"/>
      <c r="R174" s="100"/>
      <c r="S174" s="102"/>
      <c r="U174" s="100"/>
      <c r="V174" s="100"/>
      <c r="X174" s="104"/>
      <c r="Z174" s="100"/>
    </row>
    <row r="175" spans="4:26" ht="14.25" customHeight="1" x14ac:dyDescent="0.25">
      <c r="D175" s="116"/>
      <c r="F175" s="96"/>
      <c r="G175" s="97"/>
      <c r="H175" s="98"/>
      <c r="I175" s="99"/>
      <c r="J175" s="100"/>
      <c r="K175" s="101"/>
      <c r="M175" s="99"/>
      <c r="N175" s="100"/>
      <c r="O175" s="102"/>
      <c r="Q175" s="103"/>
      <c r="R175" s="100"/>
      <c r="S175" s="102"/>
      <c r="U175" s="100"/>
      <c r="V175" s="100"/>
      <c r="X175" s="104"/>
      <c r="Z175" s="100"/>
    </row>
    <row r="176" spans="4:26" ht="14.25" customHeight="1" x14ac:dyDescent="0.25">
      <c r="D176" s="116"/>
      <c r="F176" s="96"/>
      <c r="G176" s="97"/>
      <c r="H176" s="98"/>
      <c r="I176" s="99"/>
      <c r="J176" s="100"/>
      <c r="K176" s="101"/>
      <c r="M176" s="99"/>
      <c r="N176" s="100"/>
      <c r="O176" s="102"/>
      <c r="Q176" s="103"/>
      <c r="R176" s="100"/>
      <c r="S176" s="102"/>
      <c r="U176" s="100"/>
      <c r="V176" s="100"/>
      <c r="X176" s="104"/>
      <c r="Z176" s="100"/>
    </row>
    <row r="177" spans="4:26" ht="14.25" customHeight="1" x14ac:dyDescent="0.25">
      <c r="D177" s="116"/>
      <c r="F177" s="96"/>
      <c r="G177" s="97"/>
      <c r="H177" s="98"/>
      <c r="I177" s="99"/>
      <c r="J177" s="100"/>
      <c r="K177" s="101"/>
      <c r="M177" s="99"/>
      <c r="N177" s="100"/>
      <c r="O177" s="102"/>
      <c r="Q177" s="103"/>
      <c r="R177" s="100"/>
      <c r="S177" s="102"/>
      <c r="U177" s="100"/>
      <c r="V177" s="100"/>
      <c r="X177" s="104"/>
      <c r="Z177" s="100"/>
    </row>
    <row r="178" spans="4:26" ht="14.25" customHeight="1" x14ac:dyDescent="0.25">
      <c r="D178" s="116"/>
      <c r="F178" s="96"/>
      <c r="G178" s="97"/>
      <c r="H178" s="98"/>
      <c r="I178" s="99"/>
      <c r="J178" s="100"/>
      <c r="K178" s="101"/>
      <c r="M178" s="99"/>
      <c r="N178" s="100"/>
      <c r="O178" s="102"/>
      <c r="Q178" s="103"/>
      <c r="R178" s="100"/>
      <c r="S178" s="102"/>
      <c r="U178" s="100"/>
      <c r="V178" s="100"/>
      <c r="X178" s="104"/>
      <c r="Z178" s="100"/>
    </row>
    <row r="179" spans="4:26" ht="14.25" customHeight="1" x14ac:dyDescent="0.25">
      <c r="D179" s="116"/>
      <c r="F179" s="96"/>
      <c r="G179" s="97"/>
      <c r="H179" s="98"/>
      <c r="I179" s="99"/>
      <c r="J179" s="100"/>
      <c r="K179" s="101"/>
      <c r="M179" s="99"/>
      <c r="N179" s="100"/>
      <c r="O179" s="102"/>
      <c r="Q179" s="103"/>
      <c r="R179" s="100"/>
      <c r="S179" s="102"/>
      <c r="U179" s="100"/>
      <c r="V179" s="100"/>
      <c r="X179" s="104"/>
      <c r="Z179" s="100"/>
    </row>
    <row r="180" spans="4:26" ht="14.25" customHeight="1" x14ac:dyDescent="0.25">
      <c r="D180" s="116"/>
      <c r="F180" s="96"/>
      <c r="G180" s="97"/>
      <c r="H180" s="98"/>
      <c r="I180" s="99"/>
      <c r="J180" s="100"/>
      <c r="K180" s="101"/>
      <c r="M180" s="99"/>
      <c r="N180" s="100"/>
      <c r="O180" s="102"/>
      <c r="Q180" s="103"/>
      <c r="R180" s="100"/>
      <c r="S180" s="102"/>
      <c r="U180" s="100"/>
      <c r="V180" s="100"/>
      <c r="X180" s="104"/>
      <c r="Z180" s="100"/>
    </row>
    <row r="181" spans="4:26" ht="14.25" customHeight="1" x14ac:dyDescent="0.25">
      <c r="D181" s="116"/>
      <c r="F181" s="96"/>
      <c r="G181" s="97"/>
      <c r="H181" s="98"/>
      <c r="I181" s="99"/>
      <c r="J181" s="100"/>
      <c r="K181" s="101"/>
      <c r="M181" s="99"/>
      <c r="N181" s="100"/>
      <c r="O181" s="102"/>
      <c r="Q181" s="103"/>
      <c r="R181" s="100"/>
      <c r="S181" s="102"/>
      <c r="U181" s="100"/>
      <c r="V181" s="100"/>
      <c r="X181" s="104"/>
      <c r="Z181" s="100"/>
    </row>
    <row r="182" spans="4:26" ht="14.25" customHeight="1" x14ac:dyDescent="0.25">
      <c r="D182" s="116"/>
      <c r="F182" s="96"/>
      <c r="G182" s="97"/>
      <c r="H182" s="98"/>
      <c r="I182" s="99"/>
      <c r="J182" s="100"/>
      <c r="K182" s="101"/>
      <c r="M182" s="99"/>
      <c r="N182" s="100"/>
      <c r="O182" s="102"/>
      <c r="Q182" s="103"/>
      <c r="R182" s="100"/>
      <c r="S182" s="102"/>
      <c r="U182" s="100"/>
      <c r="V182" s="100"/>
      <c r="X182" s="104"/>
      <c r="Z182" s="100"/>
    </row>
    <row r="183" spans="4:26" ht="14.25" customHeight="1" x14ac:dyDescent="0.25">
      <c r="D183" s="116"/>
      <c r="F183" s="96"/>
      <c r="G183" s="97"/>
      <c r="H183" s="98"/>
      <c r="I183" s="99"/>
      <c r="J183" s="100"/>
      <c r="K183" s="101"/>
      <c r="M183" s="99"/>
      <c r="N183" s="100"/>
      <c r="O183" s="102"/>
      <c r="Q183" s="103"/>
      <c r="R183" s="100"/>
      <c r="S183" s="102"/>
      <c r="U183" s="100"/>
      <c r="V183" s="100"/>
      <c r="X183" s="104"/>
      <c r="Z183" s="100"/>
    </row>
    <row r="184" spans="4:26" ht="14.25" customHeight="1" x14ac:dyDescent="0.25">
      <c r="D184" s="116"/>
      <c r="F184" s="96"/>
      <c r="G184" s="97"/>
      <c r="H184" s="98"/>
      <c r="I184" s="99"/>
      <c r="J184" s="100"/>
      <c r="K184" s="101"/>
      <c r="M184" s="99"/>
      <c r="N184" s="100"/>
      <c r="O184" s="102"/>
      <c r="Q184" s="103"/>
      <c r="R184" s="100"/>
      <c r="S184" s="102"/>
      <c r="U184" s="100"/>
      <c r="V184" s="100"/>
      <c r="X184" s="104"/>
      <c r="Z184" s="100"/>
    </row>
    <row r="185" spans="4:26" ht="14.25" customHeight="1" x14ac:dyDescent="0.25">
      <c r="D185" s="116"/>
      <c r="F185" s="96"/>
      <c r="G185" s="97"/>
      <c r="H185" s="98"/>
      <c r="I185" s="99"/>
      <c r="J185" s="100"/>
      <c r="K185" s="101"/>
      <c r="M185" s="99"/>
      <c r="N185" s="100"/>
      <c r="O185" s="102"/>
      <c r="Q185" s="103"/>
      <c r="R185" s="100"/>
      <c r="S185" s="102"/>
      <c r="U185" s="100"/>
      <c r="V185" s="100"/>
      <c r="X185" s="104"/>
      <c r="Z185" s="100"/>
    </row>
    <row r="186" spans="4:26" ht="14.25" customHeight="1" x14ac:dyDescent="0.25">
      <c r="D186" s="116"/>
      <c r="F186" s="96"/>
      <c r="G186" s="97"/>
      <c r="H186" s="98"/>
      <c r="I186" s="99"/>
      <c r="J186" s="100"/>
      <c r="K186" s="101"/>
      <c r="M186" s="99"/>
      <c r="N186" s="100"/>
      <c r="O186" s="102"/>
      <c r="Q186" s="103"/>
      <c r="R186" s="100"/>
      <c r="S186" s="102"/>
      <c r="U186" s="100"/>
      <c r="V186" s="100"/>
      <c r="X186" s="104"/>
      <c r="Z186" s="100"/>
    </row>
    <row r="187" spans="4:26" ht="14.25" customHeight="1" x14ac:dyDescent="0.25">
      <c r="D187" s="116"/>
      <c r="F187" s="96"/>
      <c r="G187" s="97"/>
      <c r="H187" s="98"/>
      <c r="I187" s="99"/>
      <c r="J187" s="100"/>
      <c r="K187" s="101"/>
      <c r="M187" s="99"/>
      <c r="N187" s="100"/>
      <c r="O187" s="102"/>
      <c r="Q187" s="103"/>
      <c r="R187" s="100"/>
      <c r="S187" s="102"/>
      <c r="U187" s="100"/>
      <c r="V187" s="100"/>
      <c r="X187" s="104"/>
      <c r="Z187" s="100"/>
    </row>
    <row r="188" spans="4:26" ht="14.25" customHeight="1" x14ac:dyDescent="0.25">
      <c r="D188" s="116"/>
      <c r="F188" s="96"/>
      <c r="G188" s="97"/>
      <c r="H188" s="98"/>
      <c r="I188" s="99"/>
      <c r="J188" s="100"/>
      <c r="K188" s="101"/>
      <c r="M188" s="99"/>
      <c r="N188" s="100"/>
      <c r="O188" s="102"/>
      <c r="Q188" s="103"/>
      <c r="R188" s="100"/>
      <c r="S188" s="102"/>
      <c r="U188" s="100"/>
      <c r="V188" s="100"/>
      <c r="X188" s="104"/>
      <c r="Z188" s="100"/>
    </row>
    <row r="189" spans="4:26" ht="14.25" customHeight="1" x14ac:dyDescent="0.25">
      <c r="D189" s="116"/>
      <c r="F189" s="96"/>
      <c r="G189" s="97"/>
      <c r="H189" s="98"/>
      <c r="I189" s="99"/>
      <c r="J189" s="100"/>
      <c r="K189" s="101"/>
      <c r="M189" s="99"/>
      <c r="N189" s="100"/>
      <c r="O189" s="102"/>
      <c r="Q189" s="103"/>
      <c r="R189" s="100"/>
      <c r="S189" s="102"/>
      <c r="U189" s="100"/>
      <c r="V189" s="100"/>
      <c r="X189" s="104"/>
      <c r="Z189" s="100"/>
    </row>
    <row r="190" spans="4:26" ht="14.25" customHeight="1" x14ac:dyDescent="0.25">
      <c r="D190" s="116"/>
      <c r="F190" s="96"/>
      <c r="G190" s="97"/>
      <c r="H190" s="98"/>
      <c r="I190" s="99"/>
      <c r="J190" s="100"/>
      <c r="K190" s="101"/>
      <c r="M190" s="99"/>
      <c r="N190" s="100"/>
      <c r="O190" s="102"/>
      <c r="Q190" s="103"/>
      <c r="R190" s="100"/>
      <c r="S190" s="102"/>
      <c r="U190" s="100"/>
      <c r="V190" s="100"/>
      <c r="X190" s="104"/>
      <c r="Z190" s="100"/>
    </row>
    <row r="191" spans="4:26" ht="14.25" customHeight="1" x14ac:dyDescent="0.25">
      <c r="D191" s="116"/>
      <c r="F191" s="96"/>
      <c r="G191" s="97"/>
      <c r="H191" s="98"/>
      <c r="I191" s="99"/>
      <c r="J191" s="100"/>
      <c r="K191" s="101"/>
      <c r="M191" s="99"/>
      <c r="N191" s="100"/>
      <c r="O191" s="102"/>
      <c r="Q191" s="103"/>
      <c r="R191" s="100"/>
      <c r="S191" s="102"/>
      <c r="U191" s="100"/>
      <c r="V191" s="100"/>
      <c r="X191" s="104"/>
      <c r="Z191" s="100"/>
    </row>
    <row r="192" spans="4:26" ht="14.25" customHeight="1" x14ac:dyDescent="0.25">
      <c r="D192" s="116"/>
      <c r="F192" s="96"/>
      <c r="G192" s="97"/>
      <c r="H192" s="98"/>
      <c r="I192" s="99"/>
      <c r="J192" s="100"/>
      <c r="K192" s="101"/>
      <c r="M192" s="99"/>
      <c r="N192" s="100"/>
      <c r="O192" s="102"/>
      <c r="Q192" s="103"/>
      <c r="R192" s="100"/>
      <c r="S192" s="102"/>
      <c r="U192" s="100"/>
      <c r="V192" s="100"/>
      <c r="X192" s="104"/>
      <c r="Z192" s="100"/>
    </row>
    <row r="193" spans="4:26" ht="14.25" customHeight="1" x14ac:dyDescent="0.25">
      <c r="D193" s="116"/>
      <c r="F193" s="96"/>
      <c r="G193" s="97"/>
      <c r="H193" s="98"/>
      <c r="I193" s="99"/>
      <c r="J193" s="100"/>
      <c r="K193" s="101"/>
      <c r="M193" s="99"/>
      <c r="N193" s="100"/>
      <c r="O193" s="102"/>
      <c r="Q193" s="103"/>
      <c r="R193" s="100"/>
      <c r="S193" s="102"/>
      <c r="U193" s="100"/>
      <c r="V193" s="100"/>
      <c r="X193" s="104"/>
      <c r="Z193" s="100"/>
    </row>
    <row r="194" spans="4:26" ht="14.25" customHeight="1" x14ac:dyDescent="0.25">
      <c r="D194" s="116"/>
      <c r="F194" s="96"/>
      <c r="G194" s="97"/>
      <c r="H194" s="98"/>
      <c r="I194" s="99"/>
      <c r="J194" s="100"/>
      <c r="K194" s="101"/>
      <c r="M194" s="99"/>
      <c r="N194" s="100"/>
      <c r="O194" s="102"/>
      <c r="Q194" s="103"/>
      <c r="R194" s="100"/>
      <c r="S194" s="102"/>
      <c r="U194" s="100"/>
      <c r="V194" s="100"/>
      <c r="X194" s="104"/>
      <c r="Z194" s="100"/>
    </row>
    <row r="195" spans="4:26" ht="14.25" customHeight="1" x14ac:dyDescent="0.25">
      <c r="D195" s="116"/>
      <c r="F195" s="96"/>
      <c r="G195" s="97"/>
      <c r="H195" s="98"/>
      <c r="I195" s="99"/>
      <c r="J195" s="100"/>
      <c r="K195" s="101"/>
      <c r="M195" s="99"/>
      <c r="N195" s="100"/>
      <c r="O195" s="102"/>
      <c r="Q195" s="103"/>
      <c r="R195" s="100"/>
      <c r="S195" s="102"/>
      <c r="U195" s="100"/>
      <c r="V195" s="100"/>
      <c r="X195" s="104"/>
      <c r="Z195" s="100"/>
    </row>
    <row r="196" spans="4:26" ht="14.25" customHeight="1" x14ac:dyDescent="0.25">
      <c r="D196" s="116"/>
      <c r="F196" s="96"/>
      <c r="G196" s="97"/>
      <c r="H196" s="98"/>
      <c r="I196" s="99"/>
      <c r="J196" s="100"/>
      <c r="K196" s="101"/>
      <c r="M196" s="99"/>
      <c r="N196" s="100"/>
      <c r="O196" s="102"/>
      <c r="Q196" s="103"/>
      <c r="R196" s="100"/>
      <c r="S196" s="102"/>
      <c r="U196" s="100"/>
      <c r="V196" s="100"/>
      <c r="X196" s="104"/>
      <c r="Z196" s="100"/>
    </row>
    <row r="197" spans="4:26" ht="14.25" customHeight="1" x14ac:dyDescent="0.25">
      <c r="D197" s="116"/>
      <c r="F197" s="96"/>
      <c r="G197" s="97"/>
      <c r="H197" s="98"/>
      <c r="I197" s="99"/>
      <c r="J197" s="100"/>
      <c r="K197" s="101"/>
      <c r="M197" s="99"/>
      <c r="N197" s="100"/>
      <c r="O197" s="102"/>
      <c r="Q197" s="103"/>
      <c r="R197" s="100"/>
      <c r="S197" s="102"/>
      <c r="U197" s="100"/>
      <c r="V197" s="100"/>
      <c r="X197" s="104"/>
      <c r="Z197" s="100"/>
    </row>
    <row r="198" spans="4:26" ht="14.25" customHeight="1" x14ac:dyDescent="0.25">
      <c r="D198" s="116"/>
      <c r="F198" s="96"/>
      <c r="G198" s="97"/>
      <c r="H198" s="98"/>
      <c r="I198" s="99"/>
      <c r="J198" s="100"/>
      <c r="K198" s="101"/>
      <c r="M198" s="99"/>
      <c r="N198" s="100"/>
      <c r="O198" s="102"/>
      <c r="Q198" s="103"/>
      <c r="R198" s="100"/>
      <c r="S198" s="102"/>
      <c r="U198" s="100"/>
      <c r="V198" s="100"/>
      <c r="X198" s="104"/>
      <c r="Z198" s="100"/>
    </row>
    <row r="199" spans="4:26" ht="14.25" customHeight="1" x14ac:dyDescent="0.25">
      <c r="D199" s="116"/>
      <c r="F199" s="96"/>
      <c r="G199" s="97"/>
      <c r="H199" s="98"/>
      <c r="I199" s="99"/>
      <c r="J199" s="100"/>
      <c r="K199" s="101"/>
      <c r="M199" s="99"/>
      <c r="N199" s="100"/>
      <c r="O199" s="102"/>
      <c r="Q199" s="103"/>
      <c r="R199" s="100"/>
      <c r="S199" s="102"/>
      <c r="U199" s="100"/>
      <c r="V199" s="100"/>
      <c r="X199" s="104"/>
      <c r="Z199" s="100"/>
    </row>
    <row r="200" spans="4:26" ht="14.25" customHeight="1" x14ac:dyDescent="0.25">
      <c r="D200" s="116"/>
      <c r="F200" s="96"/>
      <c r="G200" s="97"/>
      <c r="H200" s="98"/>
      <c r="I200" s="99"/>
      <c r="J200" s="100"/>
      <c r="K200" s="101"/>
      <c r="M200" s="99"/>
      <c r="N200" s="100"/>
      <c r="O200" s="102"/>
      <c r="Q200" s="103"/>
      <c r="R200" s="100"/>
      <c r="S200" s="102"/>
      <c r="U200" s="100"/>
      <c r="V200" s="100"/>
      <c r="X200" s="104"/>
      <c r="Z200" s="100"/>
    </row>
    <row r="201" spans="4:26" ht="14.25" customHeight="1" x14ac:dyDescent="0.25">
      <c r="D201" s="116"/>
      <c r="F201" s="96"/>
      <c r="G201" s="97"/>
      <c r="H201" s="98"/>
      <c r="I201" s="99"/>
      <c r="J201" s="100"/>
      <c r="K201" s="101"/>
      <c r="M201" s="99"/>
      <c r="N201" s="100"/>
      <c r="O201" s="102"/>
      <c r="Q201" s="103"/>
      <c r="R201" s="100"/>
      <c r="S201" s="102"/>
      <c r="U201" s="100"/>
      <c r="V201" s="100"/>
      <c r="X201" s="104"/>
      <c r="Z201" s="100"/>
    </row>
    <row r="202" spans="4:26" ht="14.25" customHeight="1" x14ac:dyDescent="0.25">
      <c r="D202" s="116"/>
      <c r="F202" s="96"/>
      <c r="G202" s="97"/>
      <c r="H202" s="98"/>
      <c r="I202" s="99"/>
      <c r="J202" s="100"/>
      <c r="K202" s="101"/>
      <c r="M202" s="99"/>
      <c r="N202" s="100"/>
      <c r="O202" s="102"/>
      <c r="Q202" s="103"/>
      <c r="R202" s="100"/>
      <c r="S202" s="102"/>
      <c r="U202" s="100"/>
      <c r="V202" s="100"/>
      <c r="X202" s="104"/>
      <c r="Z202" s="100"/>
    </row>
    <row r="203" spans="4:26" ht="14.25" customHeight="1" x14ac:dyDescent="0.25">
      <c r="D203" s="116"/>
      <c r="F203" s="96"/>
      <c r="G203" s="97"/>
      <c r="H203" s="98"/>
      <c r="I203" s="99"/>
      <c r="J203" s="100"/>
      <c r="K203" s="101"/>
      <c r="M203" s="99"/>
      <c r="N203" s="100"/>
      <c r="O203" s="102"/>
      <c r="Q203" s="103"/>
      <c r="R203" s="100"/>
      <c r="S203" s="102"/>
      <c r="U203" s="100"/>
      <c r="V203" s="100"/>
      <c r="X203" s="104"/>
      <c r="Z203" s="100"/>
    </row>
    <row r="204" spans="4:26" ht="14.25" customHeight="1" x14ac:dyDescent="0.25">
      <c r="D204" s="116"/>
      <c r="F204" s="96"/>
      <c r="G204" s="97"/>
      <c r="H204" s="98"/>
      <c r="I204" s="99"/>
      <c r="J204" s="100"/>
      <c r="K204" s="101"/>
      <c r="M204" s="99"/>
      <c r="N204" s="100"/>
      <c r="O204" s="102"/>
      <c r="Q204" s="103"/>
      <c r="R204" s="100"/>
      <c r="S204" s="102"/>
      <c r="U204" s="100"/>
      <c r="V204" s="100"/>
      <c r="X204" s="104"/>
      <c r="Z204" s="100"/>
    </row>
    <row r="205" spans="4:26" ht="14.25" customHeight="1" x14ac:dyDescent="0.25">
      <c r="D205" s="116"/>
      <c r="F205" s="96"/>
      <c r="G205" s="97"/>
      <c r="H205" s="98"/>
      <c r="I205" s="99"/>
      <c r="J205" s="100"/>
      <c r="K205" s="101"/>
      <c r="M205" s="99"/>
      <c r="N205" s="100"/>
      <c r="O205" s="102"/>
      <c r="Q205" s="103"/>
      <c r="R205" s="100"/>
      <c r="S205" s="102"/>
      <c r="U205" s="100"/>
      <c r="V205" s="100"/>
      <c r="X205" s="104"/>
      <c r="Z205" s="100"/>
    </row>
    <row r="206" spans="4:26" ht="14.25" customHeight="1" x14ac:dyDescent="0.25">
      <c r="D206" s="116"/>
      <c r="F206" s="96"/>
      <c r="G206" s="97"/>
      <c r="H206" s="98"/>
      <c r="I206" s="99"/>
      <c r="J206" s="100"/>
      <c r="K206" s="101"/>
      <c r="M206" s="99"/>
      <c r="N206" s="100"/>
      <c r="O206" s="102"/>
      <c r="Q206" s="103"/>
      <c r="R206" s="100"/>
      <c r="S206" s="102"/>
      <c r="U206" s="100"/>
      <c r="V206" s="100"/>
      <c r="X206" s="104"/>
      <c r="Z206" s="100"/>
    </row>
    <row r="207" spans="4:26" ht="14.25" customHeight="1" x14ac:dyDescent="0.25">
      <c r="D207" s="116"/>
      <c r="F207" s="96"/>
      <c r="G207" s="97"/>
      <c r="H207" s="98"/>
      <c r="I207" s="99"/>
      <c r="J207" s="100"/>
      <c r="K207" s="101"/>
      <c r="M207" s="99"/>
      <c r="N207" s="100"/>
      <c r="O207" s="102"/>
      <c r="Q207" s="103"/>
      <c r="R207" s="100"/>
      <c r="S207" s="102"/>
      <c r="U207" s="100"/>
      <c r="V207" s="100"/>
      <c r="X207" s="104"/>
      <c r="Z207" s="100"/>
    </row>
    <row r="208" spans="4:26" ht="14.25" customHeight="1" x14ac:dyDescent="0.25">
      <c r="D208" s="116"/>
      <c r="F208" s="96"/>
      <c r="G208" s="97"/>
      <c r="H208" s="98"/>
      <c r="I208" s="99"/>
      <c r="J208" s="100"/>
      <c r="K208" s="101"/>
      <c r="M208" s="99"/>
      <c r="N208" s="100"/>
      <c r="O208" s="102"/>
      <c r="Q208" s="103"/>
      <c r="R208" s="100"/>
      <c r="S208" s="102"/>
      <c r="U208" s="100"/>
      <c r="V208" s="100"/>
      <c r="X208" s="104"/>
      <c r="Z208" s="100"/>
    </row>
    <row r="209" spans="4:26" ht="14.25" customHeight="1" x14ac:dyDescent="0.25">
      <c r="D209" s="116"/>
      <c r="F209" s="96"/>
      <c r="G209" s="97"/>
      <c r="H209" s="98"/>
      <c r="I209" s="99"/>
      <c r="J209" s="100"/>
      <c r="K209" s="101"/>
      <c r="M209" s="99"/>
      <c r="N209" s="100"/>
      <c r="O209" s="102"/>
      <c r="Q209" s="103"/>
      <c r="R209" s="100"/>
      <c r="S209" s="102"/>
      <c r="U209" s="100"/>
      <c r="V209" s="100"/>
      <c r="X209" s="104"/>
      <c r="Z209" s="100"/>
    </row>
    <row r="210" spans="4:26" ht="14.25" customHeight="1" x14ac:dyDescent="0.25">
      <c r="D210" s="116"/>
      <c r="F210" s="96"/>
      <c r="G210" s="97"/>
      <c r="H210" s="98"/>
      <c r="I210" s="99"/>
      <c r="J210" s="100"/>
      <c r="K210" s="101"/>
      <c r="M210" s="99"/>
      <c r="N210" s="100"/>
      <c r="O210" s="102"/>
      <c r="Q210" s="103"/>
      <c r="R210" s="100"/>
      <c r="S210" s="102"/>
      <c r="U210" s="100"/>
      <c r="V210" s="100"/>
      <c r="X210" s="104"/>
      <c r="Z210" s="100"/>
    </row>
    <row r="211" spans="4:26" ht="14.25" customHeight="1" x14ac:dyDescent="0.25">
      <c r="D211" s="116"/>
      <c r="F211" s="96"/>
      <c r="G211" s="97"/>
      <c r="H211" s="98"/>
      <c r="I211" s="99"/>
      <c r="J211" s="100"/>
      <c r="K211" s="101"/>
      <c r="M211" s="99"/>
      <c r="N211" s="100"/>
      <c r="O211" s="102"/>
      <c r="Q211" s="103"/>
      <c r="R211" s="100"/>
      <c r="S211" s="102"/>
      <c r="U211" s="100"/>
      <c r="V211" s="100"/>
      <c r="X211" s="104"/>
      <c r="Z211" s="100"/>
    </row>
    <row r="212" spans="4:26" ht="14.25" customHeight="1" x14ac:dyDescent="0.25">
      <c r="D212" s="116"/>
      <c r="F212" s="96"/>
      <c r="G212" s="97"/>
      <c r="H212" s="98"/>
      <c r="I212" s="99"/>
      <c r="J212" s="100"/>
      <c r="K212" s="101"/>
      <c r="M212" s="99"/>
      <c r="N212" s="100"/>
      <c r="O212" s="102"/>
      <c r="Q212" s="103"/>
      <c r="R212" s="100"/>
      <c r="S212" s="102"/>
      <c r="U212" s="100"/>
      <c r="V212" s="100"/>
      <c r="X212" s="104"/>
      <c r="Z212" s="100"/>
    </row>
    <row r="213" spans="4:26" ht="14.25" customHeight="1" x14ac:dyDescent="0.25">
      <c r="D213" s="116"/>
      <c r="F213" s="96"/>
      <c r="G213" s="97"/>
      <c r="H213" s="98"/>
      <c r="I213" s="99"/>
      <c r="J213" s="100"/>
      <c r="K213" s="101"/>
      <c r="M213" s="99"/>
      <c r="N213" s="100"/>
      <c r="O213" s="102"/>
      <c r="Q213" s="103"/>
      <c r="R213" s="100"/>
      <c r="S213" s="102"/>
      <c r="U213" s="100"/>
      <c r="V213" s="100"/>
      <c r="X213" s="104"/>
      <c r="Z213" s="100"/>
    </row>
    <row r="214" spans="4:26" ht="14.25" customHeight="1" x14ac:dyDescent="0.25">
      <c r="D214" s="116"/>
      <c r="F214" s="96"/>
      <c r="G214" s="97"/>
      <c r="H214" s="98"/>
      <c r="I214" s="99"/>
      <c r="J214" s="100"/>
      <c r="K214" s="101"/>
      <c r="M214" s="99"/>
      <c r="N214" s="100"/>
      <c r="O214" s="102"/>
      <c r="Q214" s="103"/>
      <c r="R214" s="100"/>
      <c r="S214" s="102"/>
      <c r="U214" s="100"/>
      <c r="V214" s="100"/>
      <c r="X214" s="104"/>
      <c r="Z214" s="100"/>
    </row>
    <row r="215" spans="4:26" ht="14.25" customHeight="1" x14ac:dyDescent="0.25">
      <c r="D215" s="116"/>
      <c r="F215" s="96"/>
      <c r="G215" s="97"/>
      <c r="H215" s="98"/>
      <c r="I215" s="99"/>
      <c r="J215" s="100"/>
      <c r="K215" s="101"/>
      <c r="M215" s="99"/>
      <c r="N215" s="100"/>
      <c r="O215" s="102"/>
      <c r="Q215" s="103"/>
      <c r="R215" s="100"/>
      <c r="S215" s="102"/>
      <c r="U215" s="100"/>
      <c r="V215" s="100"/>
      <c r="X215" s="104"/>
      <c r="Z215" s="100"/>
    </row>
    <row r="216" spans="4:26" ht="14.25" customHeight="1" x14ac:dyDescent="0.25">
      <c r="D216" s="116"/>
      <c r="F216" s="96"/>
      <c r="G216" s="97"/>
      <c r="H216" s="98"/>
      <c r="I216" s="99"/>
      <c r="J216" s="100"/>
      <c r="K216" s="101"/>
      <c r="M216" s="99"/>
      <c r="N216" s="100"/>
      <c r="O216" s="102"/>
      <c r="Q216" s="103"/>
      <c r="R216" s="100"/>
      <c r="S216" s="102"/>
      <c r="U216" s="100"/>
      <c r="V216" s="100"/>
      <c r="X216" s="104"/>
      <c r="Z216" s="100"/>
    </row>
    <row r="217" spans="4:26" ht="14.25" customHeight="1" x14ac:dyDescent="0.25">
      <c r="D217" s="116"/>
      <c r="F217" s="96"/>
      <c r="G217" s="97"/>
      <c r="H217" s="98"/>
      <c r="I217" s="99"/>
      <c r="J217" s="100"/>
      <c r="K217" s="101"/>
      <c r="M217" s="99"/>
      <c r="N217" s="100"/>
      <c r="O217" s="102"/>
      <c r="Q217" s="103"/>
      <c r="R217" s="100"/>
      <c r="S217" s="102"/>
      <c r="U217" s="100"/>
      <c r="V217" s="100"/>
      <c r="X217" s="104"/>
      <c r="Z217" s="100"/>
    </row>
    <row r="218" spans="4:26" ht="14.25" customHeight="1" x14ac:dyDescent="0.25">
      <c r="D218" s="116"/>
      <c r="F218" s="96"/>
      <c r="G218" s="97"/>
      <c r="H218" s="98"/>
      <c r="I218" s="99"/>
      <c r="J218" s="100"/>
      <c r="K218" s="101"/>
      <c r="M218" s="99"/>
      <c r="N218" s="100"/>
      <c r="O218" s="102"/>
      <c r="Q218" s="103"/>
      <c r="R218" s="100"/>
      <c r="S218" s="102"/>
      <c r="U218" s="100"/>
      <c r="V218" s="100"/>
      <c r="X218" s="104"/>
      <c r="Z218" s="100"/>
    </row>
    <row r="219" spans="4:26" ht="14.25" customHeight="1" x14ac:dyDescent="0.25">
      <c r="D219" s="116"/>
      <c r="F219" s="96"/>
      <c r="G219" s="97"/>
      <c r="H219" s="98"/>
      <c r="I219" s="99"/>
      <c r="J219" s="100"/>
      <c r="K219" s="101"/>
      <c r="M219" s="99"/>
      <c r="N219" s="100"/>
      <c r="O219" s="102"/>
      <c r="Q219" s="103"/>
      <c r="R219" s="100"/>
      <c r="S219" s="102"/>
      <c r="U219" s="100"/>
      <c r="V219" s="100"/>
      <c r="X219" s="104"/>
      <c r="Z219" s="100"/>
    </row>
    <row r="220" spans="4:26" ht="14.25" customHeight="1" x14ac:dyDescent="0.25">
      <c r="D220" s="116"/>
      <c r="F220" s="96"/>
      <c r="G220" s="97"/>
      <c r="H220" s="98"/>
      <c r="I220" s="99"/>
      <c r="J220" s="100"/>
      <c r="K220" s="101"/>
      <c r="M220" s="99"/>
      <c r="N220" s="100"/>
      <c r="O220" s="102"/>
      <c r="Q220" s="103"/>
      <c r="R220" s="100"/>
      <c r="S220" s="102"/>
      <c r="U220" s="100"/>
      <c r="V220" s="100"/>
      <c r="X220" s="104"/>
      <c r="Z220" s="100"/>
    </row>
    <row r="221" spans="4:26" ht="14.25" customHeight="1" x14ac:dyDescent="0.25">
      <c r="D221" s="116"/>
      <c r="F221" s="96"/>
      <c r="G221" s="97"/>
      <c r="H221" s="98"/>
      <c r="I221" s="99"/>
      <c r="J221" s="100"/>
      <c r="K221" s="101"/>
      <c r="M221" s="99"/>
      <c r="N221" s="100"/>
      <c r="O221" s="102"/>
      <c r="Q221" s="103"/>
      <c r="R221" s="100"/>
      <c r="S221" s="102"/>
      <c r="U221" s="100"/>
      <c r="V221" s="100"/>
      <c r="X221" s="104"/>
      <c r="Z221" s="100"/>
    </row>
    <row r="222" spans="4:26" ht="14.25" customHeight="1" x14ac:dyDescent="0.25">
      <c r="D222" s="116"/>
      <c r="F222" s="96"/>
      <c r="G222" s="97"/>
      <c r="H222" s="98"/>
      <c r="I222" s="99"/>
      <c r="J222" s="100"/>
      <c r="K222" s="101"/>
      <c r="M222" s="99"/>
      <c r="N222" s="100"/>
      <c r="O222" s="102"/>
      <c r="Q222" s="103"/>
      <c r="R222" s="100"/>
      <c r="S222" s="102"/>
      <c r="U222" s="100"/>
      <c r="V222" s="100"/>
      <c r="X222" s="104"/>
      <c r="Z222" s="100"/>
    </row>
    <row r="223" spans="4:26" ht="14.25" customHeight="1" x14ac:dyDescent="0.25">
      <c r="D223" s="116"/>
      <c r="F223" s="96"/>
      <c r="G223" s="97"/>
      <c r="H223" s="98"/>
      <c r="I223" s="99"/>
      <c r="J223" s="100"/>
      <c r="K223" s="101"/>
      <c r="M223" s="99"/>
      <c r="N223" s="100"/>
      <c r="O223" s="102"/>
      <c r="Q223" s="103"/>
      <c r="R223" s="100"/>
      <c r="S223" s="102"/>
      <c r="U223" s="100"/>
      <c r="V223" s="100"/>
      <c r="X223" s="104"/>
      <c r="Z223" s="100"/>
    </row>
    <row r="224" spans="4:26" ht="14.25" customHeight="1" x14ac:dyDescent="0.25">
      <c r="D224" s="116"/>
      <c r="F224" s="96"/>
      <c r="G224" s="97"/>
      <c r="H224" s="98"/>
      <c r="I224" s="99"/>
      <c r="J224" s="100"/>
      <c r="K224" s="101"/>
      <c r="M224" s="99"/>
      <c r="N224" s="100"/>
      <c r="O224" s="102"/>
      <c r="Q224" s="103"/>
      <c r="R224" s="100"/>
      <c r="S224" s="102"/>
      <c r="U224" s="100"/>
      <c r="V224" s="100"/>
      <c r="X224" s="104"/>
      <c r="Z224" s="100"/>
    </row>
    <row r="225" spans="4:26" ht="14.25" customHeight="1" x14ac:dyDescent="0.25">
      <c r="D225" s="116"/>
      <c r="F225" s="96"/>
      <c r="G225" s="97"/>
      <c r="H225" s="98"/>
      <c r="I225" s="99"/>
      <c r="J225" s="100"/>
      <c r="K225" s="101"/>
      <c r="M225" s="99"/>
      <c r="N225" s="100"/>
      <c r="O225" s="102"/>
      <c r="Q225" s="103"/>
      <c r="R225" s="100"/>
      <c r="S225" s="102"/>
      <c r="U225" s="100"/>
      <c r="V225" s="100"/>
      <c r="X225" s="104"/>
      <c r="Z225" s="100"/>
    </row>
    <row r="226" spans="4:26" ht="14.25" customHeight="1" x14ac:dyDescent="0.25">
      <c r="D226" s="116"/>
      <c r="F226" s="96"/>
      <c r="G226" s="97"/>
      <c r="H226" s="98"/>
      <c r="I226" s="99"/>
      <c r="J226" s="100"/>
      <c r="K226" s="101"/>
      <c r="M226" s="99"/>
      <c r="N226" s="100"/>
      <c r="O226" s="102"/>
      <c r="Q226" s="103"/>
      <c r="R226" s="100"/>
      <c r="S226" s="102"/>
      <c r="U226" s="100"/>
      <c r="V226" s="100"/>
      <c r="X226" s="104"/>
      <c r="Z226" s="100"/>
    </row>
    <row r="227" spans="4:26" ht="14.25" customHeight="1" x14ac:dyDescent="0.25">
      <c r="D227" s="116"/>
      <c r="F227" s="96"/>
      <c r="G227" s="97"/>
      <c r="H227" s="98"/>
      <c r="I227" s="99"/>
      <c r="J227" s="100"/>
      <c r="K227" s="101"/>
      <c r="M227" s="99"/>
      <c r="N227" s="100"/>
      <c r="O227" s="102"/>
      <c r="Q227" s="103"/>
      <c r="R227" s="100"/>
      <c r="S227" s="102"/>
      <c r="U227" s="100"/>
      <c r="V227" s="100"/>
      <c r="X227" s="104"/>
      <c r="Z227" s="100"/>
    </row>
    <row r="228" spans="4:26" ht="14.25" customHeight="1" x14ac:dyDescent="0.25">
      <c r="D228" s="116"/>
      <c r="F228" s="96"/>
      <c r="G228" s="97"/>
      <c r="H228" s="98"/>
      <c r="I228" s="99"/>
      <c r="J228" s="100"/>
      <c r="K228" s="101"/>
      <c r="M228" s="99"/>
      <c r="N228" s="100"/>
      <c r="O228" s="102"/>
      <c r="Q228" s="103"/>
      <c r="R228" s="100"/>
      <c r="S228" s="102"/>
      <c r="U228" s="100"/>
      <c r="V228" s="100"/>
      <c r="X228" s="104"/>
      <c r="Z228" s="100"/>
    </row>
    <row r="229" spans="4:26" ht="14.25" customHeight="1" x14ac:dyDescent="0.25">
      <c r="D229" s="116"/>
      <c r="F229" s="96"/>
      <c r="G229" s="97"/>
      <c r="H229" s="98"/>
      <c r="I229" s="99"/>
      <c r="J229" s="100"/>
      <c r="K229" s="101"/>
      <c r="M229" s="99"/>
      <c r="N229" s="100"/>
      <c r="O229" s="102"/>
      <c r="Q229" s="103"/>
      <c r="R229" s="100"/>
      <c r="S229" s="102"/>
      <c r="U229" s="100"/>
      <c r="V229" s="100"/>
      <c r="X229" s="104"/>
      <c r="Z229" s="100"/>
    </row>
    <row r="230" spans="4:26" ht="14.25" customHeight="1" x14ac:dyDescent="0.25">
      <c r="D230" s="116"/>
      <c r="F230" s="96"/>
      <c r="G230" s="97"/>
      <c r="H230" s="98"/>
      <c r="I230" s="99"/>
      <c r="J230" s="100"/>
      <c r="K230" s="101"/>
      <c r="M230" s="99"/>
      <c r="N230" s="100"/>
      <c r="O230" s="102"/>
      <c r="Q230" s="103"/>
      <c r="R230" s="100"/>
      <c r="S230" s="102"/>
      <c r="U230" s="100"/>
      <c r="V230" s="100"/>
      <c r="X230" s="104"/>
      <c r="Z230" s="100"/>
    </row>
    <row r="231" spans="4:26" ht="14.25" customHeight="1" x14ac:dyDescent="0.25">
      <c r="D231" s="116"/>
      <c r="F231" s="96"/>
      <c r="G231" s="97"/>
      <c r="H231" s="98"/>
      <c r="I231" s="99"/>
      <c r="J231" s="100"/>
      <c r="K231" s="101"/>
      <c r="M231" s="99"/>
      <c r="N231" s="100"/>
      <c r="O231" s="102"/>
      <c r="Q231" s="103"/>
      <c r="R231" s="100"/>
      <c r="S231" s="102"/>
      <c r="U231" s="100"/>
      <c r="V231" s="100"/>
      <c r="X231" s="104"/>
      <c r="Z231" s="100"/>
    </row>
    <row r="232" spans="4:26" ht="14.25" customHeight="1" x14ac:dyDescent="0.25">
      <c r="D232" s="116"/>
      <c r="F232" s="96"/>
      <c r="G232" s="97"/>
      <c r="H232" s="98"/>
      <c r="I232" s="99"/>
      <c r="J232" s="100"/>
      <c r="K232" s="101"/>
      <c r="M232" s="99"/>
      <c r="N232" s="100"/>
      <c r="O232" s="102"/>
      <c r="Q232" s="103"/>
      <c r="R232" s="100"/>
      <c r="S232" s="102"/>
      <c r="U232" s="100"/>
      <c r="V232" s="100"/>
      <c r="X232" s="104"/>
      <c r="Z232" s="100"/>
    </row>
    <row r="233" spans="4:26" ht="14.25" customHeight="1" x14ac:dyDescent="0.25">
      <c r="D233" s="116"/>
      <c r="F233" s="96"/>
      <c r="G233" s="97"/>
      <c r="H233" s="98"/>
      <c r="I233" s="99"/>
      <c r="J233" s="100"/>
      <c r="K233" s="101"/>
      <c r="M233" s="99"/>
      <c r="N233" s="100"/>
      <c r="O233" s="102"/>
      <c r="Q233" s="103"/>
      <c r="R233" s="100"/>
      <c r="S233" s="102"/>
      <c r="U233" s="100"/>
      <c r="V233" s="100"/>
      <c r="X233" s="104"/>
      <c r="Z233" s="100"/>
    </row>
    <row r="234" spans="4:26" ht="14.25" customHeight="1" x14ac:dyDescent="0.25">
      <c r="D234" s="116"/>
      <c r="F234" s="96"/>
      <c r="G234" s="97"/>
      <c r="H234" s="98"/>
      <c r="I234" s="99"/>
      <c r="J234" s="100"/>
      <c r="K234" s="101"/>
      <c r="M234" s="99"/>
      <c r="N234" s="100"/>
      <c r="O234" s="102"/>
      <c r="Q234" s="103"/>
      <c r="R234" s="100"/>
      <c r="S234" s="102"/>
      <c r="U234" s="100"/>
      <c r="V234" s="100"/>
      <c r="X234" s="104"/>
      <c r="Z234" s="100"/>
    </row>
    <row r="235" spans="4:26" ht="14.25" customHeight="1" x14ac:dyDescent="0.25">
      <c r="D235" s="116"/>
      <c r="F235" s="96"/>
      <c r="G235" s="97"/>
      <c r="H235" s="98"/>
      <c r="I235" s="99"/>
      <c r="J235" s="100"/>
      <c r="K235" s="101"/>
      <c r="M235" s="99"/>
      <c r="N235" s="100"/>
      <c r="O235" s="102"/>
      <c r="Q235" s="103"/>
      <c r="R235" s="100"/>
      <c r="S235" s="102"/>
      <c r="U235" s="100"/>
      <c r="V235" s="100"/>
      <c r="X235" s="104"/>
      <c r="Z235" s="100"/>
    </row>
    <row r="236" spans="4:26" ht="14.25" customHeight="1" x14ac:dyDescent="0.25">
      <c r="D236" s="116"/>
      <c r="F236" s="96"/>
      <c r="G236" s="97"/>
      <c r="H236" s="98"/>
      <c r="I236" s="99"/>
      <c r="J236" s="100"/>
      <c r="K236" s="101"/>
      <c r="M236" s="99"/>
      <c r="N236" s="100"/>
      <c r="O236" s="102"/>
      <c r="Q236" s="103"/>
      <c r="R236" s="100"/>
      <c r="S236" s="102"/>
      <c r="U236" s="100"/>
      <c r="V236" s="100"/>
      <c r="X236" s="104"/>
      <c r="Z236" s="100"/>
    </row>
    <row r="237" spans="4:26" ht="14.25" customHeight="1" x14ac:dyDescent="0.25">
      <c r="D237" s="116"/>
      <c r="F237" s="96"/>
      <c r="G237" s="97"/>
      <c r="H237" s="98"/>
      <c r="I237" s="99"/>
      <c r="J237" s="100"/>
      <c r="K237" s="101"/>
      <c r="M237" s="99"/>
      <c r="N237" s="100"/>
      <c r="O237" s="102"/>
      <c r="Q237" s="103"/>
      <c r="R237" s="100"/>
      <c r="S237" s="102"/>
      <c r="U237" s="100"/>
      <c r="V237" s="100"/>
      <c r="X237" s="104"/>
      <c r="Z237" s="100"/>
    </row>
    <row r="238" spans="4:26" ht="14.25" customHeight="1" x14ac:dyDescent="0.25">
      <c r="D238" s="116"/>
      <c r="F238" s="96"/>
      <c r="G238" s="97"/>
      <c r="H238" s="98"/>
      <c r="I238" s="99"/>
      <c r="J238" s="100"/>
      <c r="K238" s="101"/>
      <c r="M238" s="99"/>
      <c r="N238" s="100"/>
      <c r="O238" s="102"/>
      <c r="Q238" s="103"/>
      <c r="R238" s="100"/>
      <c r="S238" s="102"/>
      <c r="U238" s="100"/>
      <c r="V238" s="100"/>
      <c r="X238" s="104"/>
      <c r="Z238" s="100"/>
    </row>
    <row r="239" spans="4:26" ht="14.25" customHeight="1" x14ac:dyDescent="0.25">
      <c r="D239" s="116"/>
      <c r="F239" s="96"/>
      <c r="G239" s="97"/>
      <c r="H239" s="98"/>
      <c r="I239" s="99"/>
      <c r="J239" s="100"/>
      <c r="K239" s="101"/>
      <c r="M239" s="99"/>
      <c r="N239" s="100"/>
      <c r="O239" s="102"/>
      <c r="Q239" s="103"/>
      <c r="R239" s="100"/>
      <c r="S239" s="102"/>
      <c r="U239" s="100"/>
      <c r="V239" s="100"/>
      <c r="X239" s="104"/>
      <c r="Z239" s="100"/>
    </row>
    <row r="240" spans="4:26" ht="14.25" customHeight="1" x14ac:dyDescent="0.25">
      <c r="D240" s="116"/>
      <c r="F240" s="96"/>
      <c r="G240" s="97"/>
      <c r="H240" s="98"/>
      <c r="I240" s="99"/>
      <c r="J240" s="100"/>
      <c r="K240" s="101"/>
      <c r="M240" s="99"/>
      <c r="N240" s="100"/>
      <c r="O240" s="102"/>
      <c r="Q240" s="103"/>
      <c r="R240" s="100"/>
      <c r="S240" s="102"/>
      <c r="U240" s="100"/>
      <c r="V240" s="100"/>
      <c r="X240" s="104"/>
      <c r="Z240" s="100"/>
    </row>
    <row r="241" spans="4:26" ht="14.25" customHeight="1" x14ac:dyDescent="0.25">
      <c r="D241" s="116"/>
      <c r="F241" s="96"/>
      <c r="G241" s="97"/>
      <c r="H241" s="98"/>
      <c r="I241" s="99"/>
      <c r="J241" s="100"/>
      <c r="K241" s="101"/>
      <c r="M241" s="99"/>
      <c r="N241" s="100"/>
      <c r="O241" s="102"/>
      <c r="Q241" s="103"/>
      <c r="R241" s="100"/>
      <c r="S241" s="102"/>
      <c r="U241" s="100"/>
      <c r="V241" s="100"/>
      <c r="X241" s="104"/>
      <c r="Z241" s="100"/>
    </row>
    <row r="242" spans="4:26" ht="14.25" customHeight="1" x14ac:dyDescent="0.25">
      <c r="D242" s="116"/>
      <c r="F242" s="96"/>
      <c r="G242" s="97"/>
      <c r="H242" s="98"/>
      <c r="I242" s="99"/>
      <c r="J242" s="100"/>
      <c r="K242" s="101"/>
      <c r="M242" s="99"/>
      <c r="N242" s="100"/>
      <c r="O242" s="102"/>
      <c r="Q242" s="103"/>
      <c r="R242" s="100"/>
      <c r="S242" s="102"/>
      <c r="U242" s="100"/>
      <c r="V242" s="100"/>
      <c r="X242" s="104"/>
      <c r="Z242" s="100"/>
    </row>
    <row r="243" spans="4:26" ht="14.25" customHeight="1" x14ac:dyDescent="0.25">
      <c r="D243" s="116"/>
      <c r="F243" s="96"/>
      <c r="G243" s="97"/>
      <c r="H243" s="98"/>
      <c r="I243" s="99"/>
      <c r="J243" s="100"/>
      <c r="K243" s="101"/>
      <c r="M243" s="99"/>
      <c r="N243" s="100"/>
      <c r="O243" s="102"/>
      <c r="Q243" s="103"/>
      <c r="R243" s="100"/>
      <c r="S243" s="102"/>
      <c r="U243" s="100"/>
      <c r="V243" s="100"/>
      <c r="X243" s="104"/>
      <c r="Z243" s="100"/>
    </row>
    <row r="244" spans="4:26" ht="14.25" customHeight="1" x14ac:dyDescent="0.25">
      <c r="D244" s="116"/>
      <c r="F244" s="96"/>
      <c r="G244" s="97"/>
      <c r="H244" s="98"/>
      <c r="I244" s="99"/>
      <c r="J244" s="100"/>
      <c r="K244" s="101"/>
      <c r="M244" s="99"/>
      <c r="N244" s="100"/>
      <c r="O244" s="102"/>
      <c r="Q244" s="103"/>
      <c r="R244" s="100"/>
      <c r="S244" s="102"/>
      <c r="U244" s="100"/>
      <c r="V244" s="100"/>
      <c r="X244" s="104"/>
      <c r="Z244" s="100"/>
    </row>
    <row r="245" spans="4:26" ht="14.25" customHeight="1" x14ac:dyDescent="0.25">
      <c r="D245" s="116"/>
      <c r="F245" s="96"/>
      <c r="G245" s="97"/>
      <c r="H245" s="98"/>
      <c r="I245" s="99"/>
      <c r="J245" s="100"/>
      <c r="K245" s="101"/>
      <c r="M245" s="99"/>
      <c r="N245" s="100"/>
      <c r="O245" s="102"/>
      <c r="Q245" s="103"/>
      <c r="R245" s="100"/>
      <c r="S245" s="102"/>
      <c r="U245" s="100"/>
      <c r="V245" s="100"/>
      <c r="X245" s="104"/>
      <c r="Z245" s="100"/>
    </row>
    <row r="246" spans="4:26" ht="14.25" customHeight="1" x14ac:dyDescent="0.25">
      <c r="D246" s="116"/>
      <c r="F246" s="96"/>
      <c r="G246" s="97"/>
      <c r="H246" s="98"/>
      <c r="I246" s="99"/>
      <c r="J246" s="100"/>
      <c r="K246" s="101"/>
      <c r="M246" s="99"/>
      <c r="N246" s="100"/>
      <c r="O246" s="102"/>
      <c r="Q246" s="103"/>
      <c r="R246" s="100"/>
      <c r="S246" s="102"/>
      <c r="U246" s="100"/>
      <c r="V246" s="100"/>
      <c r="X246" s="104"/>
      <c r="Z246" s="100"/>
    </row>
    <row r="247" spans="4:26" ht="14.25" customHeight="1" x14ac:dyDescent="0.25">
      <c r="D247" s="116"/>
      <c r="F247" s="96"/>
      <c r="G247" s="97"/>
      <c r="H247" s="98"/>
      <c r="I247" s="99"/>
      <c r="J247" s="100"/>
      <c r="K247" s="101"/>
      <c r="M247" s="99"/>
      <c r="N247" s="100"/>
      <c r="O247" s="102"/>
      <c r="Q247" s="103"/>
      <c r="R247" s="100"/>
      <c r="S247" s="102"/>
      <c r="U247" s="100"/>
      <c r="V247" s="100"/>
      <c r="X247" s="104"/>
      <c r="Z247" s="100"/>
    </row>
    <row r="248" spans="4:26" ht="14.25" customHeight="1" x14ac:dyDescent="0.25">
      <c r="D248" s="116"/>
      <c r="F248" s="96"/>
      <c r="G248" s="97"/>
      <c r="H248" s="98"/>
      <c r="I248" s="99"/>
      <c r="J248" s="100"/>
      <c r="K248" s="101"/>
      <c r="M248" s="99"/>
      <c r="N248" s="100"/>
      <c r="O248" s="102"/>
      <c r="Q248" s="103"/>
      <c r="R248" s="100"/>
      <c r="S248" s="102"/>
      <c r="U248" s="100"/>
      <c r="V248" s="100"/>
      <c r="X248" s="104"/>
      <c r="Z248" s="100"/>
    </row>
    <row r="249" spans="4:26" ht="14.25" customHeight="1" x14ac:dyDescent="0.25">
      <c r="D249" s="116"/>
      <c r="F249" s="96"/>
      <c r="G249" s="97"/>
      <c r="H249" s="98"/>
      <c r="I249" s="99"/>
      <c r="J249" s="100"/>
      <c r="K249" s="101"/>
      <c r="M249" s="99"/>
      <c r="N249" s="100"/>
      <c r="O249" s="102"/>
      <c r="Q249" s="103"/>
      <c r="R249" s="100"/>
      <c r="S249" s="102"/>
      <c r="U249" s="100"/>
      <c r="V249" s="100"/>
      <c r="X249" s="104"/>
      <c r="Z249" s="100"/>
    </row>
    <row r="250" spans="4:26" ht="14.25" customHeight="1" x14ac:dyDescent="0.25">
      <c r="D250" s="116"/>
      <c r="F250" s="96"/>
      <c r="G250" s="97"/>
      <c r="H250" s="98"/>
      <c r="I250" s="99"/>
      <c r="J250" s="100"/>
      <c r="K250" s="101"/>
      <c r="M250" s="99"/>
      <c r="N250" s="100"/>
      <c r="O250" s="102"/>
      <c r="Q250" s="103"/>
      <c r="R250" s="100"/>
      <c r="S250" s="102"/>
      <c r="U250" s="100"/>
      <c r="V250" s="100"/>
      <c r="X250" s="104"/>
      <c r="Z250" s="100"/>
    </row>
    <row r="251" spans="4:26" ht="14.25" customHeight="1" x14ac:dyDescent="0.25">
      <c r="D251" s="116"/>
      <c r="F251" s="96"/>
      <c r="G251" s="97"/>
      <c r="H251" s="98"/>
      <c r="I251" s="99"/>
      <c r="J251" s="100"/>
      <c r="K251" s="101"/>
      <c r="M251" s="99"/>
      <c r="N251" s="100"/>
      <c r="O251" s="102"/>
      <c r="Q251" s="103"/>
      <c r="R251" s="100"/>
      <c r="S251" s="102"/>
      <c r="U251" s="100"/>
      <c r="V251" s="100"/>
      <c r="X251" s="104"/>
      <c r="Z251" s="100"/>
    </row>
    <row r="252" spans="4:26" ht="14.25" customHeight="1" x14ac:dyDescent="0.25">
      <c r="D252" s="116"/>
      <c r="F252" s="96"/>
      <c r="G252" s="97"/>
      <c r="H252" s="98"/>
      <c r="I252" s="99"/>
      <c r="J252" s="100"/>
      <c r="K252" s="101"/>
      <c r="M252" s="99"/>
      <c r="N252" s="100"/>
      <c r="O252" s="102"/>
      <c r="Q252" s="103"/>
      <c r="R252" s="100"/>
      <c r="S252" s="102"/>
      <c r="U252" s="100"/>
      <c r="V252" s="100"/>
      <c r="X252" s="104"/>
      <c r="Z252" s="100"/>
    </row>
    <row r="253" spans="4:26" ht="14.25" customHeight="1" x14ac:dyDescent="0.25">
      <c r="D253" s="116"/>
      <c r="F253" s="96"/>
      <c r="G253" s="97"/>
      <c r="H253" s="98"/>
      <c r="I253" s="99"/>
      <c r="J253" s="100"/>
      <c r="K253" s="101"/>
      <c r="M253" s="99"/>
      <c r="N253" s="100"/>
      <c r="O253" s="102"/>
      <c r="Q253" s="103"/>
      <c r="R253" s="100"/>
      <c r="S253" s="102"/>
      <c r="U253" s="100"/>
      <c r="V253" s="100"/>
      <c r="X253" s="104"/>
      <c r="Z253" s="100"/>
    </row>
    <row r="254" spans="4:26" ht="14.25" customHeight="1" x14ac:dyDescent="0.25">
      <c r="D254" s="116"/>
      <c r="F254" s="96"/>
      <c r="G254" s="97"/>
      <c r="H254" s="98"/>
      <c r="I254" s="99"/>
      <c r="J254" s="100"/>
      <c r="K254" s="101"/>
      <c r="M254" s="99"/>
      <c r="N254" s="100"/>
      <c r="O254" s="102"/>
      <c r="Q254" s="103"/>
      <c r="R254" s="100"/>
      <c r="S254" s="102"/>
      <c r="U254" s="100"/>
      <c r="V254" s="100"/>
      <c r="X254" s="104"/>
      <c r="Z254" s="100"/>
    </row>
    <row r="255" spans="4:26" ht="14.25" customHeight="1" x14ac:dyDescent="0.25">
      <c r="D255" s="116"/>
      <c r="F255" s="96"/>
      <c r="G255" s="97"/>
      <c r="H255" s="98"/>
      <c r="I255" s="99"/>
      <c r="J255" s="100"/>
      <c r="K255" s="101"/>
      <c r="M255" s="99"/>
      <c r="N255" s="100"/>
      <c r="O255" s="102"/>
      <c r="Q255" s="103"/>
      <c r="R255" s="100"/>
      <c r="S255" s="102"/>
      <c r="U255" s="100"/>
      <c r="V255" s="100"/>
      <c r="X255" s="104"/>
      <c r="Z255" s="100"/>
    </row>
    <row r="256" spans="4:26" ht="14.25" customHeight="1" x14ac:dyDescent="0.25">
      <c r="D256" s="116"/>
      <c r="F256" s="96"/>
      <c r="G256" s="97"/>
      <c r="H256" s="98"/>
      <c r="I256" s="99"/>
      <c r="J256" s="100"/>
      <c r="K256" s="101"/>
      <c r="M256" s="99"/>
      <c r="N256" s="100"/>
      <c r="O256" s="102"/>
      <c r="Q256" s="103"/>
      <c r="R256" s="100"/>
      <c r="S256" s="102"/>
      <c r="U256" s="100"/>
      <c r="V256" s="100"/>
      <c r="X256" s="104"/>
      <c r="Z256" s="100"/>
    </row>
    <row r="257" spans="4:26" ht="14.25" customHeight="1" x14ac:dyDescent="0.25">
      <c r="D257" s="116"/>
      <c r="F257" s="96"/>
      <c r="G257" s="97"/>
      <c r="H257" s="98"/>
      <c r="I257" s="99"/>
      <c r="J257" s="100"/>
      <c r="K257" s="101"/>
      <c r="M257" s="99"/>
      <c r="N257" s="100"/>
      <c r="O257" s="102"/>
      <c r="Q257" s="103"/>
      <c r="R257" s="100"/>
      <c r="S257" s="102"/>
      <c r="U257" s="100"/>
      <c r="V257" s="100"/>
      <c r="X257" s="104"/>
      <c r="Z257" s="100"/>
    </row>
    <row r="258" spans="4:26" ht="14.25" customHeight="1" x14ac:dyDescent="0.25">
      <c r="D258" s="116"/>
      <c r="F258" s="96"/>
      <c r="G258" s="97"/>
      <c r="H258" s="98"/>
      <c r="I258" s="99"/>
      <c r="J258" s="100"/>
      <c r="K258" s="101"/>
      <c r="M258" s="99"/>
      <c r="N258" s="100"/>
      <c r="O258" s="102"/>
      <c r="Q258" s="103"/>
      <c r="R258" s="100"/>
      <c r="S258" s="102"/>
      <c r="U258" s="100"/>
      <c r="V258" s="100"/>
      <c r="X258" s="104"/>
      <c r="Z258" s="100"/>
    </row>
    <row r="259" spans="4:26" ht="14.25" customHeight="1" x14ac:dyDescent="0.25">
      <c r="D259" s="116"/>
      <c r="F259" s="96"/>
      <c r="G259" s="97"/>
      <c r="H259" s="98"/>
      <c r="I259" s="99"/>
      <c r="J259" s="100"/>
      <c r="K259" s="101"/>
      <c r="M259" s="99"/>
      <c r="N259" s="100"/>
      <c r="O259" s="102"/>
      <c r="Q259" s="103"/>
      <c r="R259" s="100"/>
      <c r="S259" s="102"/>
      <c r="U259" s="100"/>
      <c r="V259" s="100"/>
      <c r="X259" s="104"/>
      <c r="Z259" s="100"/>
    </row>
    <row r="260" spans="4:26" ht="14.25" customHeight="1" x14ac:dyDescent="0.25">
      <c r="D260" s="116"/>
      <c r="F260" s="96"/>
      <c r="G260" s="97"/>
      <c r="H260" s="98"/>
      <c r="I260" s="99"/>
      <c r="J260" s="100"/>
      <c r="K260" s="101"/>
      <c r="M260" s="99"/>
      <c r="N260" s="100"/>
      <c r="O260" s="102"/>
      <c r="Q260" s="103"/>
      <c r="R260" s="100"/>
      <c r="S260" s="102"/>
      <c r="U260" s="100"/>
      <c r="V260" s="100"/>
      <c r="X260" s="104"/>
      <c r="Z260" s="100"/>
    </row>
    <row r="261" spans="4:26" ht="14.25" customHeight="1" x14ac:dyDescent="0.25">
      <c r="D261" s="116"/>
      <c r="F261" s="96"/>
      <c r="G261" s="97"/>
      <c r="H261" s="98"/>
      <c r="I261" s="99"/>
      <c r="J261" s="100"/>
      <c r="K261" s="101"/>
      <c r="M261" s="99"/>
      <c r="N261" s="100"/>
      <c r="O261" s="102"/>
      <c r="Q261" s="103"/>
      <c r="R261" s="100"/>
      <c r="S261" s="102"/>
      <c r="U261" s="100"/>
      <c r="V261" s="100"/>
      <c r="X261" s="104"/>
      <c r="Z261" s="100"/>
    </row>
    <row r="262" spans="4:26" ht="14.25" customHeight="1" x14ac:dyDescent="0.25">
      <c r="D262" s="116"/>
      <c r="F262" s="96"/>
      <c r="G262" s="97"/>
      <c r="H262" s="98"/>
      <c r="I262" s="99"/>
      <c r="J262" s="100"/>
      <c r="K262" s="101"/>
      <c r="M262" s="99"/>
      <c r="N262" s="100"/>
      <c r="O262" s="102"/>
      <c r="Q262" s="103"/>
      <c r="R262" s="100"/>
      <c r="S262" s="102"/>
      <c r="U262" s="100"/>
      <c r="V262" s="100"/>
      <c r="X262" s="104"/>
      <c r="Z262" s="100"/>
    </row>
    <row r="263" spans="4:26" ht="14.25" customHeight="1" x14ac:dyDescent="0.25">
      <c r="D263" s="116"/>
      <c r="F263" s="96"/>
      <c r="G263" s="97"/>
      <c r="H263" s="98"/>
      <c r="I263" s="99"/>
      <c r="J263" s="100"/>
      <c r="K263" s="101"/>
      <c r="M263" s="99"/>
      <c r="N263" s="100"/>
      <c r="O263" s="102"/>
      <c r="Q263" s="103"/>
      <c r="R263" s="100"/>
      <c r="S263" s="102"/>
      <c r="U263" s="100"/>
      <c r="V263" s="100"/>
      <c r="X263" s="104"/>
      <c r="Z263" s="100"/>
    </row>
    <row r="264" spans="4:26" ht="14.25" customHeight="1" x14ac:dyDescent="0.25">
      <c r="D264" s="116"/>
      <c r="F264" s="96"/>
      <c r="G264" s="97"/>
      <c r="H264" s="98"/>
      <c r="I264" s="99"/>
      <c r="J264" s="100"/>
      <c r="K264" s="101"/>
      <c r="M264" s="99"/>
      <c r="N264" s="100"/>
      <c r="O264" s="102"/>
      <c r="Q264" s="103"/>
      <c r="R264" s="100"/>
      <c r="S264" s="102"/>
      <c r="U264" s="100"/>
      <c r="V264" s="100"/>
      <c r="X264" s="104"/>
      <c r="Z264" s="100"/>
    </row>
    <row r="265" spans="4:26" ht="14.25" customHeight="1" x14ac:dyDescent="0.25">
      <c r="D265" s="116"/>
      <c r="F265" s="96"/>
      <c r="G265" s="97"/>
      <c r="H265" s="98"/>
      <c r="I265" s="99"/>
      <c r="J265" s="100"/>
      <c r="K265" s="101"/>
      <c r="M265" s="99"/>
      <c r="N265" s="100"/>
      <c r="O265" s="102"/>
      <c r="Q265" s="103"/>
      <c r="R265" s="100"/>
      <c r="S265" s="102"/>
      <c r="U265" s="100"/>
      <c r="V265" s="100"/>
      <c r="X265" s="104"/>
      <c r="Z265" s="100"/>
    </row>
    <row r="266" spans="4:26" ht="14.25" customHeight="1" x14ac:dyDescent="0.25">
      <c r="D266" s="116"/>
      <c r="F266" s="96"/>
      <c r="G266" s="97"/>
      <c r="H266" s="98"/>
      <c r="I266" s="99"/>
      <c r="J266" s="100"/>
      <c r="K266" s="101"/>
      <c r="M266" s="99"/>
      <c r="N266" s="100"/>
      <c r="O266" s="102"/>
      <c r="Q266" s="103"/>
      <c r="R266" s="100"/>
      <c r="S266" s="102"/>
      <c r="U266" s="100"/>
      <c r="V266" s="100"/>
      <c r="X266" s="104"/>
      <c r="Z266" s="100"/>
    </row>
    <row r="267" spans="4:26" ht="14.25" customHeight="1" x14ac:dyDescent="0.25">
      <c r="D267" s="116"/>
      <c r="F267" s="96"/>
      <c r="G267" s="97"/>
      <c r="H267" s="98"/>
      <c r="I267" s="99"/>
      <c r="J267" s="100"/>
      <c r="K267" s="101"/>
      <c r="M267" s="99"/>
      <c r="N267" s="100"/>
      <c r="O267" s="102"/>
      <c r="Q267" s="103"/>
      <c r="R267" s="100"/>
      <c r="S267" s="102"/>
      <c r="U267" s="100"/>
      <c r="V267" s="100"/>
      <c r="X267" s="104"/>
      <c r="Z267" s="100"/>
    </row>
    <row r="268" spans="4:26" ht="14.25" customHeight="1" x14ac:dyDescent="0.25">
      <c r="D268" s="116"/>
      <c r="F268" s="96"/>
      <c r="G268" s="97"/>
      <c r="H268" s="98"/>
      <c r="I268" s="99"/>
      <c r="J268" s="100"/>
      <c r="K268" s="101"/>
      <c r="M268" s="99"/>
      <c r="N268" s="100"/>
      <c r="O268" s="102"/>
      <c r="Q268" s="103"/>
      <c r="R268" s="100"/>
      <c r="S268" s="102"/>
      <c r="U268" s="100"/>
      <c r="V268" s="100"/>
      <c r="X268" s="104"/>
      <c r="Z268" s="100"/>
    </row>
    <row r="269" spans="4:26" ht="14.25" customHeight="1" x14ac:dyDescent="0.25">
      <c r="D269" s="116"/>
      <c r="F269" s="96"/>
      <c r="G269" s="97"/>
      <c r="H269" s="98"/>
      <c r="I269" s="99"/>
      <c r="J269" s="100"/>
      <c r="K269" s="101"/>
      <c r="M269" s="99"/>
      <c r="N269" s="100"/>
      <c r="O269" s="102"/>
      <c r="Q269" s="103"/>
      <c r="R269" s="100"/>
      <c r="S269" s="102"/>
      <c r="U269" s="100"/>
      <c r="V269" s="100"/>
      <c r="X269" s="104"/>
      <c r="Z269" s="100"/>
    </row>
    <row r="270" spans="4:26" ht="14.25" customHeight="1" x14ac:dyDescent="0.25">
      <c r="D270" s="116"/>
      <c r="F270" s="96"/>
      <c r="G270" s="97"/>
      <c r="H270" s="98"/>
      <c r="I270" s="99"/>
      <c r="J270" s="100"/>
      <c r="K270" s="101"/>
      <c r="M270" s="99"/>
      <c r="N270" s="100"/>
      <c r="O270" s="102"/>
      <c r="Q270" s="103"/>
      <c r="R270" s="100"/>
      <c r="S270" s="102"/>
      <c r="U270" s="100"/>
      <c r="V270" s="100"/>
      <c r="X270" s="104"/>
      <c r="Z270" s="100"/>
    </row>
    <row r="271" spans="4:26" ht="14.25" customHeight="1" x14ac:dyDescent="0.25">
      <c r="D271" s="116"/>
      <c r="F271" s="96"/>
      <c r="G271" s="97"/>
      <c r="H271" s="98"/>
      <c r="I271" s="99"/>
      <c r="J271" s="100"/>
      <c r="K271" s="101"/>
      <c r="M271" s="99"/>
      <c r="N271" s="100"/>
      <c r="O271" s="102"/>
      <c r="Q271" s="103"/>
      <c r="R271" s="100"/>
      <c r="S271" s="102"/>
      <c r="U271" s="100"/>
      <c r="V271" s="100"/>
      <c r="X271" s="104"/>
      <c r="Z271" s="100"/>
    </row>
    <row r="272" spans="4:26" ht="14.25" customHeight="1" x14ac:dyDescent="0.25">
      <c r="D272" s="116"/>
      <c r="F272" s="96"/>
      <c r="G272" s="97"/>
      <c r="H272" s="98"/>
      <c r="I272" s="99"/>
      <c r="J272" s="100"/>
      <c r="K272" s="101"/>
      <c r="M272" s="99"/>
      <c r="N272" s="100"/>
      <c r="O272" s="102"/>
      <c r="Q272" s="103"/>
      <c r="R272" s="100"/>
      <c r="S272" s="102"/>
      <c r="U272" s="100"/>
      <c r="V272" s="100"/>
      <c r="X272" s="104"/>
      <c r="Z272" s="100"/>
    </row>
    <row r="273" spans="4:26" ht="14.25" customHeight="1" x14ac:dyDescent="0.25">
      <c r="D273" s="116"/>
      <c r="F273" s="96"/>
      <c r="G273" s="97"/>
      <c r="H273" s="98"/>
      <c r="I273" s="99"/>
      <c r="J273" s="100"/>
      <c r="K273" s="101"/>
      <c r="M273" s="99"/>
      <c r="N273" s="100"/>
      <c r="O273" s="102"/>
      <c r="Q273" s="103"/>
      <c r="R273" s="100"/>
      <c r="S273" s="102"/>
      <c r="U273" s="100"/>
      <c r="V273" s="100"/>
      <c r="X273" s="104"/>
      <c r="Z273" s="100"/>
    </row>
    <row r="274" spans="4:26" ht="14.25" customHeight="1" x14ac:dyDescent="0.25">
      <c r="D274" s="116"/>
      <c r="F274" s="96"/>
      <c r="G274" s="97"/>
      <c r="H274" s="98"/>
      <c r="I274" s="99"/>
      <c r="J274" s="100"/>
      <c r="K274" s="101"/>
      <c r="M274" s="99"/>
      <c r="N274" s="100"/>
      <c r="O274" s="102"/>
      <c r="Q274" s="103"/>
      <c r="R274" s="100"/>
      <c r="S274" s="102"/>
      <c r="U274" s="100"/>
      <c r="V274" s="100"/>
      <c r="X274" s="104"/>
      <c r="Z274" s="100"/>
    </row>
    <row r="275" spans="4:26" ht="14.25" customHeight="1" x14ac:dyDescent="0.25">
      <c r="D275" s="116"/>
      <c r="F275" s="96"/>
      <c r="G275" s="97"/>
      <c r="H275" s="98"/>
      <c r="I275" s="99"/>
      <c r="J275" s="100"/>
      <c r="K275" s="101"/>
      <c r="M275" s="99"/>
      <c r="N275" s="100"/>
      <c r="O275" s="102"/>
      <c r="Q275" s="103"/>
      <c r="R275" s="100"/>
      <c r="S275" s="102"/>
      <c r="U275" s="100"/>
      <c r="V275" s="100"/>
      <c r="X275" s="104"/>
      <c r="Z275" s="100"/>
    </row>
    <row r="276" spans="4:26" ht="14.25" customHeight="1" x14ac:dyDescent="0.25">
      <c r="D276" s="116"/>
      <c r="F276" s="96"/>
      <c r="G276" s="97"/>
      <c r="H276" s="98"/>
      <c r="I276" s="99"/>
      <c r="J276" s="100"/>
      <c r="K276" s="101"/>
      <c r="M276" s="99"/>
      <c r="N276" s="100"/>
      <c r="O276" s="102"/>
      <c r="Q276" s="103"/>
      <c r="R276" s="100"/>
      <c r="S276" s="102"/>
      <c r="U276" s="100"/>
      <c r="V276" s="100"/>
      <c r="X276" s="104"/>
      <c r="Z276" s="100"/>
    </row>
    <row r="277" spans="4:26" ht="14.25" customHeight="1" x14ac:dyDescent="0.25">
      <c r="D277" s="116"/>
      <c r="F277" s="96"/>
      <c r="G277" s="97"/>
      <c r="H277" s="98"/>
      <c r="I277" s="99"/>
      <c r="J277" s="100"/>
      <c r="K277" s="101"/>
      <c r="M277" s="99"/>
      <c r="N277" s="100"/>
      <c r="O277" s="102"/>
      <c r="Q277" s="103"/>
      <c r="R277" s="100"/>
      <c r="S277" s="102"/>
      <c r="U277" s="100"/>
      <c r="V277" s="100"/>
      <c r="X277" s="104"/>
      <c r="Z277" s="100"/>
    </row>
    <row r="278" spans="4:26" ht="14.25" customHeight="1" x14ac:dyDescent="0.25">
      <c r="D278" s="116"/>
      <c r="F278" s="96"/>
      <c r="G278" s="97"/>
      <c r="H278" s="98"/>
      <c r="I278" s="99"/>
      <c r="J278" s="100"/>
      <c r="K278" s="101"/>
      <c r="M278" s="99"/>
      <c r="N278" s="100"/>
      <c r="O278" s="102"/>
      <c r="Q278" s="103"/>
      <c r="R278" s="100"/>
      <c r="S278" s="102"/>
      <c r="U278" s="100"/>
      <c r="V278" s="100"/>
      <c r="X278" s="104"/>
      <c r="Z278" s="100"/>
    </row>
    <row r="279" spans="4:26" ht="14.25" customHeight="1" x14ac:dyDescent="0.25">
      <c r="D279" s="116"/>
      <c r="F279" s="96"/>
      <c r="G279" s="97"/>
      <c r="H279" s="98"/>
      <c r="I279" s="99"/>
      <c r="J279" s="100"/>
      <c r="K279" s="101"/>
      <c r="M279" s="99"/>
      <c r="N279" s="100"/>
      <c r="O279" s="102"/>
      <c r="Q279" s="103"/>
      <c r="R279" s="100"/>
      <c r="S279" s="102"/>
      <c r="U279" s="100"/>
      <c r="V279" s="100"/>
      <c r="X279" s="104"/>
      <c r="Z279" s="100"/>
    </row>
    <row r="280" spans="4:26" ht="14.25" customHeight="1" x14ac:dyDescent="0.25">
      <c r="D280" s="116"/>
      <c r="F280" s="96"/>
      <c r="G280" s="97"/>
      <c r="H280" s="98"/>
      <c r="I280" s="99"/>
      <c r="J280" s="100"/>
      <c r="K280" s="101"/>
      <c r="M280" s="99"/>
      <c r="N280" s="100"/>
      <c r="O280" s="102"/>
      <c r="Q280" s="103"/>
      <c r="R280" s="100"/>
      <c r="S280" s="102"/>
      <c r="U280" s="100"/>
      <c r="V280" s="100"/>
      <c r="X280" s="104"/>
      <c r="Z280" s="100"/>
    </row>
    <row r="281" spans="4:26" ht="14.25" customHeight="1" x14ac:dyDescent="0.25">
      <c r="D281" s="116"/>
      <c r="F281" s="96"/>
      <c r="G281" s="97"/>
      <c r="H281" s="98"/>
      <c r="I281" s="99"/>
      <c r="J281" s="100"/>
      <c r="K281" s="101"/>
      <c r="M281" s="99"/>
      <c r="N281" s="100"/>
      <c r="O281" s="102"/>
      <c r="Q281" s="103"/>
      <c r="R281" s="100"/>
      <c r="S281" s="102"/>
      <c r="U281" s="100"/>
      <c r="V281" s="100"/>
      <c r="X281" s="104"/>
      <c r="Z281" s="100"/>
    </row>
    <row r="282" spans="4:26" ht="14.25" customHeight="1" x14ac:dyDescent="0.25">
      <c r="D282" s="116"/>
      <c r="F282" s="96"/>
      <c r="G282" s="97"/>
      <c r="H282" s="98"/>
      <c r="I282" s="99"/>
      <c r="J282" s="100"/>
      <c r="K282" s="101"/>
      <c r="M282" s="99"/>
      <c r="N282" s="100"/>
      <c r="O282" s="102"/>
      <c r="Q282" s="103"/>
      <c r="R282" s="100"/>
      <c r="S282" s="102"/>
      <c r="U282" s="100"/>
      <c r="V282" s="100"/>
      <c r="X282" s="104"/>
      <c r="Z282" s="100"/>
    </row>
    <row r="283" spans="4:26" ht="14.25" customHeight="1" x14ac:dyDescent="0.25">
      <c r="D283" s="116"/>
      <c r="F283" s="96"/>
      <c r="G283" s="97"/>
      <c r="H283" s="98"/>
      <c r="I283" s="99"/>
      <c r="J283" s="100"/>
      <c r="K283" s="101"/>
      <c r="M283" s="99"/>
      <c r="N283" s="100"/>
      <c r="O283" s="102"/>
      <c r="Q283" s="103"/>
      <c r="R283" s="100"/>
      <c r="S283" s="102"/>
      <c r="U283" s="100"/>
      <c r="V283" s="100"/>
      <c r="X283" s="104"/>
      <c r="Z283" s="100"/>
    </row>
    <row r="284" spans="4:26" ht="14.25" customHeight="1" x14ac:dyDescent="0.25">
      <c r="D284" s="116"/>
      <c r="F284" s="96"/>
      <c r="G284" s="97"/>
      <c r="H284" s="98"/>
      <c r="I284" s="99"/>
      <c r="J284" s="100"/>
      <c r="K284" s="101"/>
      <c r="M284" s="99"/>
      <c r="N284" s="100"/>
      <c r="O284" s="102"/>
      <c r="Q284" s="103"/>
      <c r="R284" s="100"/>
      <c r="S284" s="102"/>
      <c r="U284" s="100"/>
      <c r="V284" s="100"/>
      <c r="X284" s="104"/>
      <c r="Z284" s="100"/>
    </row>
    <row r="285" spans="4:26" ht="14.25" customHeight="1" x14ac:dyDescent="0.25">
      <c r="D285" s="116"/>
      <c r="F285" s="96"/>
      <c r="G285" s="97"/>
      <c r="H285" s="98"/>
      <c r="I285" s="99"/>
      <c r="J285" s="100"/>
      <c r="K285" s="101"/>
      <c r="M285" s="99"/>
      <c r="N285" s="100"/>
      <c r="O285" s="102"/>
      <c r="Q285" s="103"/>
      <c r="R285" s="100"/>
      <c r="S285" s="102"/>
      <c r="U285" s="100"/>
      <c r="V285" s="100"/>
      <c r="X285" s="104"/>
      <c r="Z285" s="100"/>
    </row>
    <row r="286" spans="4:26" ht="14.25" customHeight="1" x14ac:dyDescent="0.25">
      <c r="D286" s="116"/>
      <c r="F286" s="96"/>
      <c r="G286" s="97"/>
      <c r="H286" s="98"/>
      <c r="I286" s="99"/>
      <c r="J286" s="100"/>
      <c r="K286" s="101"/>
      <c r="M286" s="99"/>
      <c r="N286" s="100"/>
      <c r="O286" s="102"/>
      <c r="Q286" s="103"/>
      <c r="R286" s="100"/>
      <c r="S286" s="102"/>
      <c r="U286" s="100"/>
      <c r="V286" s="100"/>
      <c r="X286" s="104"/>
      <c r="Z286" s="100"/>
    </row>
    <row r="287" spans="4:26" ht="14.25" customHeight="1" x14ac:dyDescent="0.25">
      <c r="D287" s="116"/>
      <c r="G287" s="111"/>
      <c r="H287" s="98"/>
      <c r="I287" s="99"/>
      <c r="J287" s="100"/>
      <c r="K287" s="101"/>
      <c r="M287" s="99"/>
      <c r="N287" s="100"/>
      <c r="O287" s="102"/>
      <c r="Q287" s="103"/>
      <c r="R287" s="100"/>
      <c r="S287" s="102"/>
      <c r="U287" s="100"/>
      <c r="V287" s="100"/>
      <c r="X287" s="104"/>
      <c r="Z287" s="100"/>
    </row>
    <row r="288" spans="4:26" ht="14.25" customHeight="1" x14ac:dyDescent="0.25">
      <c r="D288" s="116"/>
      <c r="G288" s="111"/>
      <c r="H288" s="98"/>
      <c r="I288" s="99"/>
      <c r="J288" s="100"/>
      <c r="K288" s="101"/>
      <c r="M288" s="99"/>
      <c r="N288" s="100"/>
      <c r="O288" s="102"/>
      <c r="Q288" s="103"/>
      <c r="R288" s="100"/>
      <c r="S288" s="102"/>
      <c r="U288" s="100"/>
      <c r="V288" s="100"/>
      <c r="X288" s="104"/>
      <c r="Z288" s="100"/>
    </row>
    <row r="289" spans="4:26" ht="14.25" customHeight="1" x14ac:dyDescent="0.25">
      <c r="D289" s="116"/>
      <c r="G289" s="111"/>
      <c r="H289" s="98"/>
      <c r="I289" s="99"/>
      <c r="J289" s="100"/>
      <c r="K289" s="101"/>
      <c r="M289" s="99"/>
      <c r="N289" s="100"/>
      <c r="O289" s="102"/>
      <c r="Q289" s="103"/>
      <c r="R289" s="100"/>
      <c r="S289" s="102"/>
      <c r="U289" s="100"/>
      <c r="V289" s="100"/>
      <c r="X289" s="104"/>
      <c r="Z289" s="100"/>
    </row>
    <row r="290" spans="4:26" ht="14.25" customHeight="1" x14ac:dyDescent="0.25">
      <c r="D290" s="116"/>
      <c r="G290" s="111"/>
      <c r="H290" s="98"/>
      <c r="I290" s="99"/>
      <c r="J290" s="100"/>
      <c r="K290" s="101"/>
      <c r="M290" s="99"/>
      <c r="N290" s="100"/>
      <c r="O290" s="102"/>
      <c r="Q290" s="103"/>
      <c r="R290" s="100"/>
      <c r="S290" s="102"/>
      <c r="U290" s="100"/>
      <c r="V290" s="100"/>
      <c r="X290" s="104"/>
      <c r="Z290" s="100"/>
    </row>
    <row r="291" spans="4:26" ht="14.25" customHeight="1" x14ac:dyDescent="0.25">
      <c r="D291" s="116"/>
      <c r="G291" s="111"/>
      <c r="H291" s="98"/>
      <c r="I291" s="99"/>
      <c r="J291" s="100"/>
      <c r="K291" s="101"/>
      <c r="M291" s="99"/>
      <c r="N291" s="100"/>
      <c r="O291" s="102"/>
      <c r="Q291" s="103"/>
      <c r="R291" s="100"/>
      <c r="S291" s="102"/>
      <c r="U291" s="100"/>
      <c r="V291" s="100"/>
      <c r="X291" s="104"/>
      <c r="Z291" s="100"/>
    </row>
    <row r="292" spans="4:26" ht="14.25" customHeight="1" x14ac:dyDescent="0.25">
      <c r="D292" s="116"/>
      <c r="G292" s="111"/>
      <c r="H292" s="98"/>
      <c r="I292" s="99"/>
      <c r="J292" s="100"/>
      <c r="K292" s="101"/>
      <c r="M292" s="99"/>
      <c r="N292" s="100"/>
      <c r="O292" s="102"/>
      <c r="Q292" s="103"/>
      <c r="R292" s="100"/>
      <c r="S292" s="102"/>
      <c r="U292" s="100"/>
      <c r="V292" s="100"/>
      <c r="X292" s="104"/>
      <c r="Z292" s="100"/>
    </row>
    <row r="293" spans="4:26" ht="14.25" customHeight="1" x14ac:dyDescent="0.25">
      <c r="D293" s="116"/>
      <c r="G293" s="111"/>
      <c r="H293" s="98"/>
      <c r="I293" s="99"/>
      <c r="J293" s="100"/>
      <c r="K293" s="101"/>
      <c r="M293" s="99"/>
      <c r="N293" s="100"/>
      <c r="O293" s="102"/>
      <c r="Q293" s="103"/>
      <c r="R293" s="100"/>
      <c r="S293" s="102"/>
      <c r="U293" s="100"/>
      <c r="V293" s="100"/>
      <c r="X293" s="104"/>
      <c r="Z293" s="100"/>
    </row>
    <row r="294" spans="4:26" ht="14.25" customHeight="1" x14ac:dyDescent="0.25">
      <c r="D294" s="116"/>
      <c r="G294" s="111"/>
      <c r="H294" s="98"/>
      <c r="I294" s="99"/>
      <c r="J294" s="100"/>
      <c r="K294" s="101"/>
      <c r="M294" s="99"/>
      <c r="N294" s="100"/>
      <c r="O294" s="102"/>
      <c r="Q294" s="103"/>
      <c r="R294" s="100"/>
      <c r="S294" s="102"/>
      <c r="U294" s="100"/>
      <c r="V294" s="100"/>
      <c r="X294" s="104"/>
      <c r="Z294" s="100"/>
    </row>
    <row r="295" spans="4:26" ht="14.25" customHeight="1" x14ac:dyDescent="0.25">
      <c r="D295" s="116"/>
      <c r="G295" s="111"/>
      <c r="H295" s="98"/>
      <c r="I295" s="99"/>
      <c r="J295" s="100"/>
      <c r="K295" s="101"/>
      <c r="M295" s="99"/>
      <c r="N295" s="100"/>
      <c r="O295" s="102"/>
      <c r="Q295" s="103"/>
      <c r="R295" s="100"/>
      <c r="S295" s="102"/>
      <c r="U295" s="100"/>
      <c r="V295" s="100"/>
      <c r="X295" s="104"/>
      <c r="Z295" s="100"/>
    </row>
    <row r="296" spans="4:26" ht="14.25" customHeight="1" x14ac:dyDescent="0.25">
      <c r="D296" s="116"/>
      <c r="G296" s="111"/>
      <c r="H296" s="98"/>
      <c r="I296" s="99"/>
      <c r="J296" s="100"/>
      <c r="K296" s="101"/>
      <c r="M296" s="99"/>
      <c r="N296" s="100"/>
      <c r="O296" s="102"/>
      <c r="Q296" s="103"/>
      <c r="R296" s="100"/>
      <c r="S296" s="102"/>
      <c r="U296" s="100"/>
      <c r="V296" s="100"/>
      <c r="X296" s="104"/>
      <c r="Z296" s="100"/>
    </row>
    <row r="297" spans="4:26" ht="14.25" customHeight="1" x14ac:dyDescent="0.25">
      <c r="D297" s="116"/>
      <c r="G297" s="111"/>
      <c r="H297" s="98"/>
      <c r="I297" s="99"/>
      <c r="J297" s="100"/>
      <c r="K297" s="101"/>
      <c r="M297" s="99"/>
      <c r="N297" s="100"/>
      <c r="O297" s="102"/>
      <c r="Q297" s="103"/>
      <c r="R297" s="100"/>
      <c r="S297" s="102"/>
      <c r="U297" s="100"/>
      <c r="V297" s="100"/>
      <c r="X297" s="104"/>
      <c r="Z297" s="100"/>
    </row>
    <row r="298" spans="4:26" ht="14.25" customHeight="1" x14ac:dyDescent="0.25">
      <c r="D298" s="116"/>
      <c r="G298" s="111"/>
      <c r="H298" s="98"/>
      <c r="I298" s="99"/>
      <c r="J298" s="100"/>
      <c r="K298" s="101"/>
      <c r="M298" s="99"/>
      <c r="N298" s="100"/>
      <c r="O298" s="102"/>
      <c r="Q298" s="103"/>
      <c r="R298" s="100"/>
      <c r="S298" s="102"/>
      <c r="U298" s="100"/>
      <c r="V298" s="100"/>
      <c r="X298" s="104"/>
      <c r="Z298" s="100"/>
    </row>
    <row r="299" spans="4:26" ht="14.25" customHeight="1" x14ac:dyDescent="0.25">
      <c r="D299" s="116"/>
      <c r="G299" s="111"/>
      <c r="H299" s="98"/>
      <c r="I299" s="99"/>
      <c r="J299" s="100"/>
      <c r="K299" s="101"/>
      <c r="M299" s="99"/>
      <c r="N299" s="100"/>
      <c r="O299" s="102"/>
      <c r="Q299" s="103"/>
      <c r="R299" s="100"/>
      <c r="S299" s="102"/>
      <c r="U299" s="100"/>
      <c r="V299" s="100"/>
      <c r="X299" s="104"/>
      <c r="Z299" s="100"/>
    </row>
    <row r="300" spans="4:26" ht="14.25" customHeight="1" x14ac:dyDescent="0.25">
      <c r="D300" s="116"/>
      <c r="G300" s="111"/>
      <c r="H300" s="98"/>
      <c r="I300" s="99"/>
      <c r="J300" s="100"/>
      <c r="K300" s="101"/>
      <c r="M300" s="99"/>
      <c r="N300" s="100"/>
      <c r="O300" s="102"/>
      <c r="Q300" s="103"/>
      <c r="R300" s="100"/>
      <c r="S300" s="102"/>
      <c r="U300" s="100"/>
      <c r="V300" s="100"/>
      <c r="X300" s="104"/>
      <c r="Z300" s="100"/>
    </row>
    <row r="301" spans="4:26" ht="14.25" customHeight="1" x14ac:dyDescent="0.25">
      <c r="D301" s="116"/>
      <c r="G301" s="111"/>
      <c r="H301" s="98"/>
      <c r="I301" s="99"/>
      <c r="J301" s="100"/>
      <c r="K301" s="101"/>
      <c r="M301" s="99"/>
      <c r="N301" s="100"/>
      <c r="O301" s="102"/>
      <c r="Q301" s="103"/>
      <c r="R301" s="100"/>
      <c r="S301" s="102"/>
      <c r="U301" s="100"/>
      <c r="V301" s="100"/>
      <c r="X301" s="104"/>
      <c r="Z301" s="100"/>
    </row>
    <row r="302" spans="4:26" ht="14.25" customHeight="1" x14ac:dyDescent="0.25">
      <c r="D302" s="116"/>
      <c r="G302" s="111"/>
      <c r="H302" s="98"/>
      <c r="I302" s="99"/>
      <c r="J302" s="100"/>
      <c r="K302" s="101"/>
      <c r="M302" s="99"/>
      <c r="N302" s="100"/>
      <c r="O302" s="102"/>
      <c r="Q302" s="103"/>
      <c r="R302" s="100"/>
      <c r="S302" s="102"/>
      <c r="U302" s="100"/>
      <c r="V302" s="100"/>
      <c r="X302" s="104"/>
      <c r="Z302" s="100"/>
    </row>
    <row r="303" spans="4:26" ht="14.25" customHeight="1" x14ac:dyDescent="0.25">
      <c r="D303" s="116"/>
      <c r="G303" s="111"/>
      <c r="H303" s="98"/>
      <c r="I303" s="99"/>
      <c r="J303" s="100"/>
      <c r="K303" s="101"/>
      <c r="M303" s="99"/>
      <c r="N303" s="100"/>
      <c r="O303" s="102"/>
      <c r="Q303" s="103"/>
      <c r="R303" s="100"/>
      <c r="S303" s="102"/>
      <c r="U303" s="100"/>
      <c r="V303" s="100"/>
      <c r="X303" s="104"/>
      <c r="Z303" s="100"/>
    </row>
    <row r="304" spans="4:26" ht="14.25" customHeight="1" x14ac:dyDescent="0.25">
      <c r="D304" s="116"/>
      <c r="G304" s="111"/>
      <c r="H304" s="98"/>
      <c r="I304" s="99"/>
      <c r="J304" s="100"/>
      <c r="K304" s="101"/>
      <c r="M304" s="99"/>
      <c r="N304" s="100"/>
      <c r="O304" s="102"/>
      <c r="Q304" s="103"/>
      <c r="R304" s="100"/>
      <c r="S304" s="102"/>
      <c r="U304" s="100"/>
      <c r="V304" s="100"/>
      <c r="X304" s="104"/>
      <c r="Z304" s="100"/>
    </row>
    <row r="305" spans="4:26" ht="14.25" customHeight="1" x14ac:dyDescent="0.25">
      <c r="D305" s="116"/>
      <c r="G305" s="111"/>
      <c r="H305" s="98"/>
      <c r="I305" s="99"/>
      <c r="J305" s="100"/>
      <c r="K305" s="101"/>
      <c r="M305" s="99"/>
      <c r="N305" s="100"/>
      <c r="O305" s="102"/>
      <c r="Q305" s="103"/>
      <c r="R305" s="100"/>
      <c r="S305" s="102"/>
      <c r="U305" s="100"/>
      <c r="V305" s="100"/>
      <c r="X305" s="104"/>
      <c r="Z305" s="100"/>
    </row>
    <row r="306" spans="4:26" ht="14.25" customHeight="1" x14ac:dyDescent="0.25">
      <c r="D306" s="116"/>
      <c r="G306" s="111"/>
      <c r="H306" s="98"/>
      <c r="I306" s="99"/>
      <c r="J306" s="100"/>
      <c r="K306" s="101"/>
      <c r="M306" s="99"/>
      <c r="N306" s="100"/>
      <c r="O306" s="102"/>
      <c r="Q306" s="103"/>
      <c r="R306" s="100"/>
      <c r="S306" s="102"/>
      <c r="U306" s="100"/>
      <c r="V306" s="100"/>
      <c r="X306" s="104"/>
      <c r="Z306" s="100"/>
    </row>
    <row r="307" spans="4:26" ht="14.25" customHeight="1" x14ac:dyDescent="0.25">
      <c r="D307" s="116"/>
      <c r="G307" s="111"/>
      <c r="H307" s="98"/>
      <c r="I307" s="99"/>
      <c r="J307" s="100"/>
      <c r="K307" s="101"/>
      <c r="M307" s="99"/>
      <c r="N307" s="100"/>
      <c r="O307" s="102"/>
      <c r="Q307" s="103"/>
      <c r="R307" s="100"/>
      <c r="S307" s="102"/>
      <c r="U307" s="100"/>
      <c r="V307" s="100"/>
      <c r="X307" s="104"/>
      <c r="Z307" s="100"/>
    </row>
    <row r="308" spans="4:26" ht="14.25" customHeight="1" x14ac:dyDescent="0.25">
      <c r="D308" s="116"/>
      <c r="G308" s="111"/>
      <c r="H308" s="98"/>
      <c r="I308" s="99"/>
      <c r="J308" s="100"/>
      <c r="K308" s="101"/>
      <c r="M308" s="99"/>
      <c r="N308" s="100"/>
      <c r="O308" s="102"/>
      <c r="Q308" s="103"/>
      <c r="R308" s="100"/>
      <c r="S308" s="102"/>
      <c r="U308" s="100"/>
      <c r="V308" s="100"/>
      <c r="X308" s="104"/>
      <c r="Z308" s="100"/>
    </row>
    <row r="309" spans="4:26" ht="14.25" customHeight="1" x14ac:dyDescent="0.25">
      <c r="D309" s="116"/>
      <c r="G309" s="111"/>
      <c r="H309" s="98"/>
      <c r="I309" s="99"/>
      <c r="J309" s="100"/>
      <c r="K309" s="101"/>
      <c r="M309" s="99"/>
      <c r="N309" s="100"/>
      <c r="O309" s="102"/>
      <c r="Q309" s="103"/>
      <c r="R309" s="100"/>
      <c r="S309" s="102"/>
      <c r="U309" s="100"/>
      <c r="V309" s="100"/>
      <c r="X309" s="104"/>
      <c r="Z309" s="100"/>
    </row>
    <row r="310" spans="4:26" ht="14.25" customHeight="1" x14ac:dyDescent="0.25">
      <c r="D310" s="116"/>
      <c r="G310" s="111"/>
      <c r="H310" s="98"/>
      <c r="I310" s="99"/>
      <c r="J310" s="100"/>
      <c r="K310" s="101"/>
      <c r="M310" s="99"/>
      <c r="N310" s="100"/>
      <c r="O310" s="102"/>
      <c r="Q310" s="103"/>
      <c r="R310" s="100"/>
      <c r="S310" s="102"/>
      <c r="U310" s="100"/>
      <c r="V310" s="100"/>
      <c r="X310" s="104"/>
      <c r="Z310" s="100"/>
    </row>
    <row r="311" spans="4:26" ht="14.25" customHeight="1" x14ac:dyDescent="0.25">
      <c r="D311" s="116"/>
      <c r="G311" s="111"/>
      <c r="H311" s="98"/>
      <c r="I311" s="99"/>
      <c r="J311" s="100"/>
      <c r="K311" s="101"/>
      <c r="M311" s="99"/>
      <c r="N311" s="100"/>
      <c r="O311" s="102"/>
      <c r="Q311" s="103"/>
      <c r="R311" s="100"/>
      <c r="S311" s="102"/>
      <c r="U311" s="100"/>
      <c r="V311" s="100"/>
      <c r="X311" s="104"/>
      <c r="Z311" s="100"/>
    </row>
    <row r="312" spans="4:26" ht="14.25" customHeight="1" x14ac:dyDescent="0.25">
      <c r="D312" s="116"/>
      <c r="G312" s="111"/>
      <c r="H312" s="98"/>
      <c r="I312" s="99"/>
      <c r="J312" s="100"/>
      <c r="K312" s="101"/>
      <c r="M312" s="99"/>
      <c r="N312" s="100"/>
      <c r="O312" s="102"/>
      <c r="Q312" s="103"/>
      <c r="R312" s="100"/>
      <c r="S312" s="102"/>
      <c r="U312" s="100"/>
      <c r="V312" s="100"/>
      <c r="X312" s="104"/>
      <c r="Z312" s="100"/>
    </row>
    <row r="313" spans="4:26" ht="14.25" customHeight="1" x14ac:dyDescent="0.25">
      <c r="D313" s="116"/>
      <c r="G313" s="111"/>
      <c r="H313" s="98"/>
      <c r="I313" s="99"/>
      <c r="J313" s="100"/>
      <c r="K313" s="101"/>
      <c r="M313" s="99"/>
      <c r="N313" s="100"/>
      <c r="O313" s="102"/>
      <c r="Q313" s="103"/>
      <c r="R313" s="100"/>
      <c r="S313" s="102"/>
      <c r="U313" s="100"/>
      <c r="V313" s="100"/>
      <c r="X313" s="104"/>
      <c r="Z313" s="100"/>
    </row>
    <row r="314" spans="4:26" ht="14.25" customHeight="1" x14ac:dyDescent="0.25">
      <c r="D314" s="116"/>
      <c r="G314" s="111"/>
      <c r="H314" s="98"/>
      <c r="I314" s="99"/>
      <c r="J314" s="100"/>
      <c r="K314" s="101"/>
      <c r="M314" s="99"/>
      <c r="N314" s="100"/>
      <c r="O314" s="102"/>
      <c r="Q314" s="103"/>
      <c r="R314" s="100"/>
      <c r="S314" s="102"/>
      <c r="U314" s="100"/>
      <c r="V314" s="100"/>
      <c r="X314" s="104"/>
      <c r="Z314" s="100"/>
    </row>
    <row r="315" spans="4:26" ht="14.25" customHeight="1" x14ac:dyDescent="0.25">
      <c r="D315" s="116"/>
      <c r="G315" s="111"/>
      <c r="H315" s="98"/>
      <c r="I315" s="99"/>
      <c r="J315" s="100"/>
      <c r="K315" s="101"/>
      <c r="M315" s="99"/>
      <c r="N315" s="100"/>
      <c r="O315" s="102"/>
      <c r="Q315" s="103"/>
      <c r="R315" s="100"/>
      <c r="S315" s="102"/>
      <c r="U315" s="100"/>
      <c r="V315" s="100"/>
      <c r="X315" s="104"/>
      <c r="Z315" s="100"/>
    </row>
    <row r="316" spans="4:26" ht="14.25" customHeight="1" x14ac:dyDescent="0.25">
      <c r="D316" s="116"/>
      <c r="G316" s="111"/>
      <c r="H316" s="98"/>
      <c r="I316" s="99"/>
      <c r="J316" s="100"/>
      <c r="K316" s="101"/>
      <c r="M316" s="99"/>
      <c r="N316" s="100"/>
      <c r="O316" s="102"/>
      <c r="Q316" s="103"/>
      <c r="R316" s="100"/>
      <c r="S316" s="102"/>
      <c r="U316" s="100"/>
      <c r="V316" s="100"/>
      <c r="X316" s="104"/>
      <c r="Z316" s="100"/>
    </row>
    <row r="317" spans="4:26" ht="14.25" customHeight="1" x14ac:dyDescent="0.25">
      <c r="D317" s="116"/>
      <c r="G317" s="111"/>
      <c r="H317" s="98"/>
      <c r="I317" s="99"/>
      <c r="J317" s="100"/>
      <c r="K317" s="101"/>
      <c r="M317" s="99"/>
      <c r="N317" s="100"/>
      <c r="O317" s="102"/>
      <c r="Q317" s="103"/>
      <c r="R317" s="100"/>
      <c r="S317" s="102"/>
      <c r="U317" s="100"/>
      <c r="V317" s="100"/>
      <c r="X317" s="104"/>
      <c r="Z317" s="100"/>
    </row>
    <row r="318" spans="4:26" ht="14.25" customHeight="1" x14ac:dyDescent="0.25">
      <c r="D318" s="116"/>
      <c r="G318" s="111"/>
      <c r="H318" s="98"/>
      <c r="I318" s="99"/>
      <c r="J318" s="100"/>
      <c r="K318" s="101"/>
      <c r="M318" s="99"/>
      <c r="N318" s="100"/>
      <c r="O318" s="102"/>
      <c r="Q318" s="103"/>
      <c r="R318" s="100"/>
      <c r="S318" s="102"/>
      <c r="U318" s="100"/>
      <c r="V318" s="100"/>
      <c r="X318" s="104"/>
      <c r="Z318" s="100"/>
    </row>
    <row r="319" spans="4:26" ht="14.25" customHeight="1" x14ac:dyDescent="0.25">
      <c r="D319" s="116"/>
      <c r="G319" s="111"/>
      <c r="H319" s="98"/>
      <c r="I319" s="99"/>
      <c r="J319" s="100"/>
      <c r="K319" s="101"/>
      <c r="M319" s="99"/>
      <c r="N319" s="100"/>
      <c r="O319" s="102"/>
      <c r="Q319" s="103"/>
      <c r="R319" s="100"/>
      <c r="S319" s="102"/>
      <c r="U319" s="100"/>
      <c r="V319" s="100"/>
      <c r="X319" s="104"/>
      <c r="Z319" s="100"/>
    </row>
    <row r="320" spans="4:26" ht="14.25" customHeight="1" x14ac:dyDescent="0.25">
      <c r="D320" s="116"/>
      <c r="G320" s="111"/>
      <c r="H320" s="98"/>
      <c r="I320" s="99"/>
      <c r="J320" s="100"/>
      <c r="K320" s="101"/>
      <c r="M320" s="99"/>
      <c r="N320" s="100"/>
      <c r="O320" s="102"/>
      <c r="Q320" s="103"/>
      <c r="R320" s="100"/>
      <c r="S320" s="102"/>
      <c r="U320" s="100"/>
      <c r="V320" s="100"/>
      <c r="X320" s="104"/>
      <c r="Z320" s="100"/>
    </row>
    <row r="321" spans="4:26" ht="14.25" customHeight="1" x14ac:dyDescent="0.25">
      <c r="D321" s="116"/>
      <c r="G321" s="111"/>
      <c r="H321" s="98"/>
      <c r="I321" s="99"/>
      <c r="J321" s="100"/>
      <c r="K321" s="101"/>
      <c r="M321" s="99"/>
      <c r="N321" s="100"/>
      <c r="O321" s="102"/>
      <c r="Q321" s="103"/>
      <c r="R321" s="100"/>
      <c r="S321" s="102"/>
      <c r="U321" s="100"/>
      <c r="V321" s="100"/>
      <c r="X321" s="104"/>
      <c r="Z321" s="100"/>
    </row>
    <row r="322" spans="4:26" ht="14.25" customHeight="1" x14ac:dyDescent="0.25">
      <c r="D322" s="116"/>
      <c r="G322" s="111"/>
      <c r="H322" s="98"/>
      <c r="I322" s="99"/>
      <c r="J322" s="100"/>
      <c r="K322" s="101"/>
      <c r="M322" s="99"/>
      <c r="N322" s="100"/>
      <c r="O322" s="102"/>
      <c r="Q322" s="103"/>
      <c r="R322" s="100"/>
      <c r="S322" s="102"/>
      <c r="U322" s="100"/>
      <c r="V322" s="100"/>
      <c r="X322" s="104"/>
      <c r="Z322" s="100"/>
    </row>
    <row r="323" spans="4:26" ht="14.25" customHeight="1" x14ac:dyDescent="0.25">
      <c r="D323" s="116"/>
      <c r="G323" s="111"/>
      <c r="H323" s="98"/>
      <c r="I323" s="99"/>
      <c r="J323" s="100"/>
      <c r="K323" s="101"/>
      <c r="M323" s="99"/>
      <c r="N323" s="100"/>
      <c r="O323" s="102"/>
      <c r="Q323" s="103"/>
      <c r="R323" s="100"/>
      <c r="S323" s="102"/>
      <c r="U323" s="100"/>
      <c r="V323" s="100"/>
      <c r="X323" s="104"/>
      <c r="Z323" s="100"/>
    </row>
    <row r="324" spans="4:26" ht="14.25" customHeight="1" x14ac:dyDescent="0.25">
      <c r="D324" s="116"/>
      <c r="G324" s="111"/>
      <c r="H324" s="98"/>
      <c r="I324" s="99"/>
      <c r="J324" s="100"/>
      <c r="K324" s="101"/>
      <c r="M324" s="99"/>
      <c r="N324" s="100"/>
      <c r="O324" s="102"/>
      <c r="Q324" s="103"/>
      <c r="R324" s="100"/>
      <c r="S324" s="102"/>
      <c r="U324" s="100"/>
      <c r="V324" s="100"/>
      <c r="X324" s="104"/>
      <c r="Z324" s="100"/>
    </row>
    <row r="325" spans="4:26" ht="14.25" customHeight="1" x14ac:dyDescent="0.25">
      <c r="D325" s="116"/>
      <c r="G325" s="111"/>
      <c r="H325" s="98"/>
      <c r="I325" s="99"/>
      <c r="J325" s="100"/>
      <c r="K325" s="101"/>
      <c r="M325" s="99"/>
      <c r="N325" s="100"/>
      <c r="O325" s="102"/>
      <c r="Q325" s="103"/>
      <c r="R325" s="100"/>
      <c r="S325" s="102"/>
      <c r="U325" s="100"/>
      <c r="V325" s="100"/>
      <c r="X325" s="104"/>
      <c r="Z325" s="100"/>
    </row>
    <row r="326" spans="4:26" ht="14.25" customHeight="1" x14ac:dyDescent="0.25">
      <c r="D326" s="116"/>
      <c r="G326" s="111"/>
      <c r="H326" s="98"/>
      <c r="I326" s="99"/>
      <c r="J326" s="100"/>
      <c r="K326" s="101"/>
      <c r="M326" s="99"/>
      <c r="N326" s="100"/>
      <c r="O326" s="102"/>
      <c r="Q326" s="103"/>
      <c r="R326" s="100"/>
      <c r="S326" s="102"/>
      <c r="U326" s="100"/>
      <c r="V326" s="100"/>
      <c r="X326" s="104"/>
      <c r="Z326" s="100"/>
    </row>
    <row r="327" spans="4:26" ht="14.25" customHeight="1" x14ac:dyDescent="0.25">
      <c r="D327" s="116"/>
      <c r="G327" s="111"/>
      <c r="H327" s="98"/>
      <c r="I327" s="99"/>
      <c r="J327" s="100"/>
      <c r="K327" s="101"/>
      <c r="M327" s="99"/>
      <c r="N327" s="100"/>
      <c r="O327" s="102"/>
      <c r="Q327" s="103"/>
      <c r="R327" s="100"/>
      <c r="S327" s="102"/>
      <c r="U327" s="100"/>
      <c r="V327" s="100"/>
      <c r="X327" s="104"/>
      <c r="Z327" s="100"/>
    </row>
    <row r="328" spans="4:26" ht="14.25" customHeight="1" x14ac:dyDescent="0.25">
      <c r="D328" s="116"/>
      <c r="G328" s="111"/>
      <c r="H328" s="98"/>
      <c r="I328" s="99"/>
      <c r="J328" s="100"/>
      <c r="K328" s="101"/>
      <c r="M328" s="99"/>
      <c r="N328" s="100"/>
      <c r="O328" s="102"/>
      <c r="Q328" s="103"/>
      <c r="R328" s="100"/>
      <c r="S328" s="102"/>
      <c r="U328" s="100"/>
      <c r="V328" s="100"/>
      <c r="X328" s="104"/>
      <c r="Z328" s="100"/>
    </row>
    <row r="329" spans="4:26" ht="14.25" customHeight="1" x14ac:dyDescent="0.25">
      <c r="D329" s="116"/>
      <c r="G329" s="111"/>
      <c r="H329" s="98"/>
      <c r="I329" s="99"/>
      <c r="J329" s="100"/>
      <c r="K329" s="101"/>
      <c r="M329" s="99"/>
      <c r="N329" s="100"/>
      <c r="O329" s="102"/>
      <c r="Q329" s="103"/>
      <c r="R329" s="100"/>
      <c r="S329" s="102"/>
      <c r="U329" s="100"/>
      <c r="V329" s="100"/>
      <c r="X329" s="104"/>
      <c r="Z329" s="100"/>
    </row>
    <row r="330" spans="4:26" ht="14.25" customHeight="1" x14ac:dyDescent="0.25">
      <c r="D330" s="116"/>
      <c r="G330" s="111"/>
      <c r="H330" s="98"/>
      <c r="I330" s="99"/>
      <c r="J330" s="100"/>
      <c r="K330" s="101"/>
      <c r="M330" s="99"/>
      <c r="N330" s="100"/>
      <c r="O330" s="102"/>
      <c r="Q330" s="103"/>
      <c r="R330" s="100"/>
      <c r="S330" s="102"/>
      <c r="U330" s="100"/>
      <c r="V330" s="100"/>
      <c r="X330" s="104"/>
      <c r="Z330" s="100"/>
    </row>
    <row r="331" spans="4:26" ht="14.25" customHeight="1" x14ac:dyDescent="0.25">
      <c r="D331" s="116"/>
      <c r="G331" s="111"/>
      <c r="H331" s="98"/>
      <c r="I331" s="99"/>
      <c r="J331" s="100"/>
      <c r="K331" s="101"/>
      <c r="M331" s="99"/>
      <c r="N331" s="100"/>
      <c r="O331" s="102"/>
      <c r="Q331" s="103"/>
      <c r="R331" s="100"/>
      <c r="S331" s="102"/>
      <c r="U331" s="100"/>
      <c r="V331" s="100"/>
      <c r="X331" s="104"/>
      <c r="Z331" s="100"/>
    </row>
    <row r="332" spans="4:26" ht="14.25" customHeight="1" x14ac:dyDescent="0.25">
      <c r="D332" s="116"/>
      <c r="G332" s="111"/>
      <c r="H332" s="98"/>
      <c r="I332" s="99"/>
      <c r="J332" s="100"/>
      <c r="K332" s="101"/>
      <c r="M332" s="99"/>
      <c r="N332" s="100"/>
      <c r="O332" s="102"/>
      <c r="Q332" s="103"/>
      <c r="R332" s="100"/>
      <c r="S332" s="102"/>
      <c r="U332" s="100"/>
      <c r="V332" s="100"/>
      <c r="X332" s="104"/>
      <c r="Z332" s="100"/>
    </row>
    <row r="333" spans="4:26" ht="14.25" customHeight="1" x14ac:dyDescent="0.25">
      <c r="D333" s="116"/>
      <c r="G333" s="111"/>
      <c r="H333" s="98"/>
      <c r="I333" s="99"/>
      <c r="J333" s="100"/>
      <c r="K333" s="101"/>
      <c r="M333" s="99"/>
      <c r="N333" s="100"/>
      <c r="O333" s="102"/>
      <c r="Q333" s="103"/>
      <c r="R333" s="100"/>
      <c r="S333" s="102"/>
      <c r="U333" s="100"/>
      <c r="V333" s="100"/>
      <c r="X333" s="104"/>
      <c r="Z333" s="100"/>
    </row>
    <row r="334" spans="4:26" ht="14.25" customHeight="1" x14ac:dyDescent="0.25">
      <c r="D334" s="116"/>
      <c r="G334" s="111"/>
      <c r="H334" s="98"/>
      <c r="I334" s="99"/>
      <c r="J334" s="100"/>
      <c r="K334" s="101"/>
      <c r="M334" s="99"/>
      <c r="N334" s="100"/>
      <c r="O334" s="102"/>
      <c r="Q334" s="103"/>
      <c r="R334" s="100"/>
      <c r="S334" s="102"/>
      <c r="U334" s="100"/>
      <c r="V334" s="100"/>
      <c r="X334" s="104"/>
      <c r="Z334" s="100"/>
    </row>
    <row r="335" spans="4:26" ht="14.25" customHeight="1" x14ac:dyDescent="0.25">
      <c r="D335" s="116"/>
      <c r="G335" s="111"/>
      <c r="H335" s="98"/>
      <c r="I335" s="99"/>
      <c r="J335" s="100"/>
      <c r="K335" s="101"/>
      <c r="M335" s="99"/>
      <c r="N335" s="100"/>
      <c r="O335" s="102"/>
      <c r="Q335" s="103"/>
      <c r="R335" s="100"/>
      <c r="S335" s="102"/>
      <c r="U335" s="100"/>
      <c r="V335" s="100"/>
      <c r="X335" s="104"/>
      <c r="Z335" s="100"/>
    </row>
    <row r="336" spans="4:26" ht="14.25" customHeight="1" x14ac:dyDescent="0.25">
      <c r="D336" s="116"/>
      <c r="G336" s="111"/>
      <c r="H336" s="98"/>
      <c r="I336" s="99"/>
      <c r="J336" s="100"/>
      <c r="K336" s="101"/>
      <c r="M336" s="99"/>
      <c r="N336" s="100"/>
      <c r="O336" s="102"/>
      <c r="Q336" s="103"/>
      <c r="R336" s="100"/>
      <c r="S336" s="102"/>
      <c r="U336" s="100"/>
      <c r="V336" s="100"/>
      <c r="X336" s="104"/>
      <c r="Z336" s="100"/>
    </row>
    <row r="337" spans="4:26" ht="14.25" customHeight="1" x14ac:dyDescent="0.25">
      <c r="D337" s="116"/>
      <c r="G337" s="111"/>
      <c r="H337" s="98"/>
      <c r="I337" s="99"/>
      <c r="J337" s="100"/>
      <c r="K337" s="101"/>
      <c r="M337" s="99"/>
      <c r="N337" s="100"/>
      <c r="O337" s="102"/>
      <c r="Q337" s="103"/>
      <c r="R337" s="100"/>
      <c r="S337" s="102"/>
      <c r="U337" s="100"/>
      <c r="V337" s="100"/>
      <c r="X337" s="104"/>
      <c r="Z337" s="100"/>
    </row>
    <row r="338" spans="4:26" ht="14.25" customHeight="1" x14ac:dyDescent="0.25">
      <c r="D338" s="116"/>
      <c r="G338" s="111"/>
      <c r="H338" s="98"/>
      <c r="I338" s="99"/>
      <c r="J338" s="100"/>
      <c r="K338" s="101"/>
      <c r="M338" s="99"/>
      <c r="N338" s="100"/>
      <c r="O338" s="102"/>
      <c r="Q338" s="103"/>
      <c r="R338" s="100"/>
      <c r="S338" s="102"/>
      <c r="U338" s="100"/>
      <c r="V338" s="100"/>
      <c r="X338" s="104"/>
      <c r="Z338" s="100"/>
    </row>
    <row r="339" spans="4:26" ht="14.25" customHeight="1" x14ac:dyDescent="0.25">
      <c r="D339" s="116"/>
      <c r="G339" s="111"/>
      <c r="H339" s="98"/>
      <c r="I339" s="99"/>
      <c r="J339" s="100"/>
      <c r="K339" s="101"/>
      <c r="M339" s="99"/>
      <c r="N339" s="100"/>
      <c r="O339" s="102"/>
      <c r="Q339" s="103"/>
      <c r="R339" s="100"/>
      <c r="S339" s="102"/>
      <c r="U339" s="100"/>
      <c r="V339" s="100"/>
      <c r="X339" s="104"/>
      <c r="Z339" s="100"/>
    </row>
    <row r="340" spans="4:26" ht="14.25" customHeight="1" x14ac:dyDescent="0.25">
      <c r="D340" s="116"/>
      <c r="G340" s="111"/>
      <c r="H340" s="98"/>
      <c r="I340" s="99"/>
      <c r="J340" s="100"/>
      <c r="K340" s="101"/>
      <c r="M340" s="99"/>
      <c r="N340" s="100"/>
      <c r="O340" s="102"/>
      <c r="Q340" s="103"/>
      <c r="R340" s="100"/>
      <c r="S340" s="102"/>
      <c r="U340" s="100"/>
      <c r="V340" s="100"/>
      <c r="X340" s="104"/>
      <c r="Z340" s="100"/>
    </row>
    <row r="341" spans="4:26" ht="14.25" customHeight="1" x14ac:dyDescent="0.25">
      <c r="D341" s="116"/>
      <c r="G341" s="111"/>
      <c r="H341" s="98"/>
      <c r="I341" s="99"/>
      <c r="J341" s="100"/>
      <c r="K341" s="101"/>
      <c r="M341" s="99"/>
      <c r="N341" s="100"/>
      <c r="O341" s="102"/>
      <c r="Q341" s="103"/>
      <c r="R341" s="100"/>
      <c r="S341" s="102"/>
      <c r="U341" s="100"/>
      <c r="V341" s="100"/>
      <c r="X341" s="104"/>
      <c r="Z341" s="100"/>
    </row>
    <row r="342" spans="4:26" ht="14.25" customHeight="1" x14ac:dyDescent="0.25">
      <c r="D342" s="116"/>
      <c r="G342" s="111"/>
      <c r="H342" s="98"/>
      <c r="I342" s="99"/>
      <c r="J342" s="100"/>
      <c r="K342" s="101"/>
      <c r="M342" s="99"/>
      <c r="N342" s="100"/>
      <c r="O342" s="102"/>
      <c r="Q342" s="103"/>
      <c r="R342" s="100"/>
      <c r="S342" s="102"/>
      <c r="U342" s="100"/>
      <c r="V342" s="100"/>
      <c r="X342" s="104"/>
      <c r="Z342" s="100"/>
    </row>
    <row r="343" spans="4:26" ht="14.25" customHeight="1" x14ac:dyDescent="0.25">
      <c r="D343" s="116"/>
      <c r="G343" s="111"/>
      <c r="H343" s="98"/>
      <c r="I343" s="99"/>
      <c r="J343" s="100"/>
      <c r="K343" s="101"/>
      <c r="M343" s="99"/>
      <c r="N343" s="100"/>
      <c r="O343" s="102"/>
      <c r="Q343" s="103"/>
      <c r="R343" s="100"/>
      <c r="S343" s="102"/>
      <c r="U343" s="100"/>
      <c r="V343" s="100"/>
      <c r="X343" s="104"/>
      <c r="Z343" s="100"/>
    </row>
    <row r="344" spans="4:26" ht="14.25" customHeight="1" x14ac:dyDescent="0.25">
      <c r="D344" s="116"/>
      <c r="G344" s="111"/>
      <c r="H344" s="98"/>
      <c r="I344" s="99"/>
      <c r="J344" s="100"/>
      <c r="K344" s="101"/>
      <c r="M344" s="99"/>
      <c r="N344" s="100"/>
      <c r="O344" s="102"/>
      <c r="Q344" s="103"/>
      <c r="R344" s="100"/>
      <c r="S344" s="102"/>
      <c r="U344" s="100"/>
      <c r="V344" s="100"/>
      <c r="X344" s="104"/>
      <c r="Z344" s="100"/>
    </row>
    <row r="345" spans="4:26" ht="14.25" customHeight="1" x14ac:dyDescent="0.25">
      <c r="D345" s="116"/>
      <c r="G345" s="111"/>
      <c r="H345" s="98"/>
      <c r="I345" s="99"/>
      <c r="J345" s="100"/>
      <c r="K345" s="101"/>
      <c r="M345" s="99"/>
      <c r="N345" s="100"/>
      <c r="O345" s="102"/>
      <c r="Q345" s="103"/>
      <c r="R345" s="100"/>
      <c r="S345" s="102"/>
      <c r="U345" s="100"/>
      <c r="V345" s="100"/>
      <c r="X345" s="104"/>
      <c r="Z345" s="100"/>
    </row>
    <row r="346" spans="4:26" ht="14.25" customHeight="1" x14ac:dyDescent="0.25">
      <c r="D346" s="116"/>
      <c r="G346" s="111"/>
      <c r="H346" s="98"/>
      <c r="I346" s="99"/>
      <c r="J346" s="100"/>
      <c r="K346" s="101"/>
      <c r="M346" s="99"/>
      <c r="N346" s="100"/>
      <c r="O346" s="102"/>
      <c r="Q346" s="103"/>
      <c r="R346" s="100"/>
      <c r="S346" s="102"/>
      <c r="U346" s="100"/>
      <c r="V346" s="100"/>
      <c r="X346" s="104"/>
      <c r="Z346" s="100"/>
    </row>
    <row r="347" spans="4:26" ht="14.25" customHeight="1" x14ac:dyDescent="0.25">
      <c r="D347" s="116"/>
      <c r="G347" s="111"/>
      <c r="H347" s="98"/>
      <c r="I347" s="99"/>
      <c r="J347" s="100"/>
      <c r="K347" s="101"/>
      <c r="M347" s="99"/>
      <c r="N347" s="100"/>
      <c r="O347" s="102"/>
      <c r="Q347" s="103"/>
      <c r="R347" s="100"/>
      <c r="S347" s="102"/>
      <c r="U347" s="100"/>
      <c r="V347" s="100"/>
      <c r="X347" s="104"/>
      <c r="Z347" s="100"/>
    </row>
    <row r="348" spans="4:26" ht="14.25" customHeight="1" x14ac:dyDescent="0.25">
      <c r="D348" s="116"/>
      <c r="G348" s="111"/>
      <c r="H348" s="98"/>
      <c r="I348" s="99"/>
      <c r="J348" s="100"/>
      <c r="K348" s="101"/>
      <c r="M348" s="99"/>
      <c r="N348" s="100"/>
      <c r="O348" s="102"/>
      <c r="Q348" s="103"/>
      <c r="R348" s="100"/>
      <c r="S348" s="102"/>
      <c r="U348" s="100"/>
      <c r="V348" s="100"/>
      <c r="X348" s="104"/>
      <c r="Z348" s="100"/>
    </row>
    <row r="349" spans="4:26" ht="14.25" customHeight="1" x14ac:dyDescent="0.25">
      <c r="D349" s="116"/>
      <c r="G349" s="111"/>
      <c r="H349" s="98"/>
      <c r="I349" s="99"/>
      <c r="J349" s="100"/>
      <c r="K349" s="101"/>
      <c r="M349" s="99"/>
      <c r="N349" s="100"/>
      <c r="O349" s="102"/>
      <c r="Q349" s="103"/>
      <c r="R349" s="100"/>
      <c r="S349" s="102"/>
      <c r="U349" s="100"/>
      <c r="V349" s="100"/>
      <c r="X349" s="104"/>
      <c r="Z349" s="100"/>
    </row>
    <row r="350" spans="4:26" ht="14.25" customHeight="1" x14ac:dyDescent="0.25">
      <c r="D350" s="116"/>
      <c r="G350" s="111"/>
      <c r="H350" s="98"/>
      <c r="I350" s="99"/>
      <c r="J350" s="100"/>
      <c r="K350" s="101"/>
      <c r="M350" s="99"/>
      <c r="N350" s="100"/>
      <c r="O350" s="102"/>
      <c r="Q350" s="103"/>
      <c r="R350" s="100"/>
      <c r="S350" s="102"/>
      <c r="U350" s="100"/>
      <c r="V350" s="100"/>
      <c r="X350" s="104"/>
      <c r="Z350" s="100"/>
    </row>
    <row r="351" spans="4:26" ht="14.25" customHeight="1" x14ac:dyDescent="0.25">
      <c r="D351" s="116"/>
      <c r="G351" s="111"/>
      <c r="H351" s="98"/>
      <c r="I351" s="99"/>
      <c r="J351" s="100"/>
      <c r="K351" s="101"/>
      <c r="M351" s="99"/>
      <c r="N351" s="100"/>
      <c r="O351" s="102"/>
      <c r="Q351" s="103"/>
      <c r="R351" s="100"/>
      <c r="S351" s="102"/>
      <c r="U351" s="100"/>
      <c r="V351" s="100"/>
      <c r="X351" s="104"/>
      <c r="Z351" s="100"/>
    </row>
    <row r="352" spans="4:26" ht="14.25" customHeight="1" x14ac:dyDescent="0.25">
      <c r="D352" s="116"/>
      <c r="G352" s="111"/>
      <c r="H352" s="98"/>
      <c r="I352" s="99"/>
      <c r="J352" s="100"/>
      <c r="K352" s="101"/>
      <c r="M352" s="99"/>
      <c r="N352" s="100"/>
      <c r="O352" s="102"/>
      <c r="Q352" s="103"/>
      <c r="R352" s="100"/>
      <c r="S352" s="102"/>
      <c r="U352" s="100"/>
      <c r="V352" s="100"/>
      <c r="X352" s="104"/>
      <c r="Z352" s="100"/>
    </row>
    <row r="353" spans="4:26" ht="14.25" customHeight="1" x14ac:dyDescent="0.25">
      <c r="D353" s="116"/>
      <c r="G353" s="111"/>
      <c r="H353" s="98"/>
      <c r="I353" s="99"/>
      <c r="J353" s="100"/>
      <c r="K353" s="101"/>
      <c r="M353" s="99"/>
      <c r="N353" s="100"/>
      <c r="O353" s="102"/>
      <c r="Q353" s="103"/>
      <c r="R353" s="100"/>
      <c r="S353" s="102"/>
      <c r="U353" s="100"/>
      <c r="V353" s="100"/>
      <c r="X353" s="104"/>
      <c r="Z353" s="100"/>
    </row>
    <row r="354" spans="4:26" ht="14.25" customHeight="1" x14ac:dyDescent="0.25">
      <c r="D354" s="116"/>
      <c r="G354" s="111"/>
      <c r="H354" s="98"/>
      <c r="I354" s="99"/>
      <c r="J354" s="100"/>
      <c r="K354" s="101"/>
      <c r="M354" s="99"/>
      <c r="N354" s="100"/>
      <c r="O354" s="102"/>
      <c r="Q354" s="103"/>
      <c r="R354" s="100"/>
      <c r="S354" s="102"/>
      <c r="U354" s="100"/>
      <c r="V354" s="100"/>
      <c r="X354" s="104"/>
      <c r="Z354" s="100"/>
    </row>
    <row r="355" spans="4:26" ht="14.25" customHeight="1" x14ac:dyDescent="0.25">
      <c r="D355" s="116"/>
      <c r="G355" s="111"/>
      <c r="H355" s="98"/>
      <c r="I355" s="99"/>
      <c r="J355" s="100"/>
      <c r="K355" s="101"/>
      <c r="M355" s="99"/>
      <c r="N355" s="100"/>
      <c r="O355" s="102"/>
      <c r="Q355" s="103"/>
      <c r="R355" s="100"/>
      <c r="S355" s="102"/>
      <c r="U355" s="100"/>
      <c r="V355" s="100"/>
      <c r="X355" s="104"/>
      <c r="Z355" s="100"/>
    </row>
    <row r="356" spans="4:26" ht="14.25" customHeight="1" x14ac:dyDescent="0.25">
      <c r="D356" s="116"/>
      <c r="G356" s="111"/>
      <c r="H356" s="98"/>
      <c r="I356" s="99"/>
      <c r="J356" s="100"/>
      <c r="K356" s="101"/>
      <c r="M356" s="99"/>
      <c r="N356" s="100"/>
      <c r="O356" s="102"/>
      <c r="Q356" s="103"/>
      <c r="R356" s="100"/>
      <c r="S356" s="102"/>
      <c r="U356" s="100"/>
      <c r="V356" s="100"/>
      <c r="X356" s="104"/>
      <c r="Z356" s="100"/>
    </row>
    <row r="357" spans="4:26" ht="14.25" customHeight="1" x14ac:dyDescent="0.25">
      <c r="D357" s="116"/>
      <c r="G357" s="111"/>
      <c r="H357" s="98"/>
      <c r="I357" s="99"/>
      <c r="J357" s="100"/>
      <c r="K357" s="101"/>
      <c r="M357" s="99"/>
      <c r="N357" s="100"/>
      <c r="O357" s="102"/>
      <c r="Q357" s="103"/>
      <c r="R357" s="100"/>
      <c r="S357" s="102"/>
      <c r="U357" s="100"/>
      <c r="V357" s="100"/>
      <c r="X357" s="104"/>
      <c r="Z357" s="100"/>
    </row>
    <row r="358" spans="4:26" ht="14.25" customHeight="1" x14ac:dyDescent="0.25">
      <c r="D358" s="116"/>
      <c r="G358" s="111"/>
      <c r="H358" s="98"/>
      <c r="I358" s="99"/>
      <c r="J358" s="100"/>
      <c r="K358" s="101"/>
      <c r="M358" s="99"/>
      <c r="N358" s="100"/>
      <c r="O358" s="102"/>
      <c r="Q358" s="103"/>
      <c r="R358" s="100"/>
      <c r="S358" s="102"/>
      <c r="U358" s="100"/>
      <c r="V358" s="100"/>
      <c r="X358" s="104"/>
      <c r="Z358" s="100"/>
    </row>
    <row r="359" spans="4:26" ht="14.25" customHeight="1" x14ac:dyDescent="0.25">
      <c r="D359" s="116"/>
      <c r="G359" s="111"/>
      <c r="H359" s="98"/>
      <c r="I359" s="99"/>
      <c r="J359" s="100"/>
      <c r="K359" s="101"/>
      <c r="M359" s="99"/>
      <c r="N359" s="100"/>
      <c r="O359" s="102"/>
      <c r="Q359" s="103"/>
      <c r="R359" s="100"/>
      <c r="S359" s="102"/>
      <c r="U359" s="100"/>
      <c r="V359" s="100"/>
      <c r="X359" s="104"/>
      <c r="Z359" s="100"/>
    </row>
    <row r="360" spans="4:26" ht="14.25" customHeight="1" x14ac:dyDescent="0.25">
      <c r="D360" s="116"/>
      <c r="G360" s="111"/>
      <c r="H360" s="98"/>
      <c r="I360" s="99"/>
      <c r="J360" s="100"/>
      <c r="K360" s="101"/>
      <c r="M360" s="99"/>
      <c r="N360" s="100"/>
      <c r="O360" s="102"/>
      <c r="Q360" s="103"/>
      <c r="R360" s="100"/>
      <c r="S360" s="102"/>
      <c r="U360" s="100"/>
      <c r="V360" s="100"/>
      <c r="X360" s="104"/>
      <c r="Z360" s="100"/>
    </row>
    <row r="361" spans="4:26" ht="14.25" customHeight="1" x14ac:dyDescent="0.25">
      <c r="D361" s="116"/>
      <c r="G361" s="111"/>
      <c r="H361" s="98"/>
      <c r="I361" s="99"/>
      <c r="J361" s="100"/>
      <c r="K361" s="101"/>
      <c r="M361" s="99"/>
      <c r="N361" s="100"/>
      <c r="O361" s="102"/>
      <c r="Q361" s="103"/>
      <c r="R361" s="100"/>
      <c r="S361" s="102"/>
      <c r="U361" s="100"/>
      <c r="V361" s="100"/>
      <c r="X361" s="104"/>
      <c r="Z361" s="100"/>
    </row>
    <row r="362" spans="4:26" ht="14.25" customHeight="1" x14ac:dyDescent="0.25">
      <c r="D362" s="116"/>
      <c r="G362" s="111"/>
      <c r="H362" s="98"/>
      <c r="I362" s="99"/>
      <c r="J362" s="100"/>
      <c r="K362" s="101"/>
      <c r="M362" s="99"/>
      <c r="N362" s="100"/>
      <c r="O362" s="102"/>
      <c r="Q362" s="103"/>
      <c r="R362" s="100"/>
      <c r="S362" s="102"/>
      <c r="U362" s="100"/>
      <c r="V362" s="100"/>
      <c r="X362" s="104"/>
      <c r="Z362" s="100"/>
    </row>
    <row r="363" spans="4:26" ht="14.25" customHeight="1" x14ac:dyDescent="0.25">
      <c r="D363" s="116"/>
      <c r="G363" s="111"/>
      <c r="H363" s="98"/>
      <c r="I363" s="99"/>
      <c r="J363" s="100"/>
      <c r="K363" s="101"/>
      <c r="M363" s="99"/>
      <c r="N363" s="100"/>
      <c r="O363" s="102"/>
      <c r="Q363" s="103"/>
      <c r="R363" s="100"/>
      <c r="S363" s="102"/>
      <c r="U363" s="100"/>
      <c r="V363" s="100"/>
      <c r="X363" s="104"/>
      <c r="Z363" s="100"/>
    </row>
    <row r="364" spans="4:26" ht="14.25" customHeight="1" x14ac:dyDescent="0.25">
      <c r="D364" s="116"/>
      <c r="G364" s="111"/>
      <c r="H364" s="98"/>
      <c r="I364" s="99"/>
      <c r="J364" s="100"/>
      <c r="K364" s="101"/>
      <c r="M364" s="99"/>
      <c r="N364" s="100"/>
      <c r="O364" s="102"/>
      <c r="Q364" s="103"/>
      <c r="R364" s="100"/>
      <c r="S364" s="102"/>
      <c r="U364" s="100"/>
      <c r="V364" s="100"/>
      <c r="X364" s="104"/>
      <c r="Z364" s="100"/>
    </row>
    <row r="365" spans="4:26" ht="14.25" customHeight="1" x14ac:dyDescent="0.25">
      <c r="D365" s="116"/>
      <c r="G365" s="111"/>
      <c r="H365" s="98"/>
      <c r="I365" s="99"/>
      <c r="J365" s="100"/>
      <c r="K365" s="101"/>
      <c r="M365" s="99"/>
      <c r="N365" s="100"/>
      <c r="O365" s="102"/>
      <c r="Q365" s="103"/>
      <c r="R365" s="100"/>
      <c r="S365" s="102"/>
      <c r="U365" s="100"/>
      <c r="V365" s="100"/>
      <c r="X365" s="104"/>
      <c r="Z365" s="100"/>
    </row>
    <row r="366" spans="4:26" ht="14.25" customHeight="1" x14ac:dyDescent="0.25">
      <c r="D366" s="116"/>
      <c r="G366" s="111"/>
      <c r="H366" s="98"/>
      <c r="I366" s="99"/>
      <c r="J366" s="100"/>
      <c r="K366" s="101"/>
      <c r="M366" s="99"/>
      <c r="N366" s="100"/>
      <c r="O366" s="102"/>
      <c r="Q366" s="103"/>
      <c r="R366" s="100"/>
      <c r="S366" s="102"/>
      <c r="U366" s="100"/>
      <c r="V366" s="100"/>
      <c r="X366" s="104"/>
      <c r="Z366" s="100"/>
    </row>
    <row r="367" spans="4:26" ht="14.25" customHeight="1" x14ac:dyDescent="0.25">
      <c r="D367" s="116"/>
      <c r="G367" s="111"/>
      <c r="H367" s="98"/>
      <c r="I367" s="99"/>
      <c r="J367" s="100"/>
      <c r="K367" s="101"/>
      <c r="M367" s="99"/>
      <c r="N367" s="100"/>
      <c r="O367" s="102"/>
      <c r="Q367" s="103"/>
      <c r="R367" s="100"/>
      <c r="S367" s="102"/>
      <c r="U367" s="100"/>
      <c r="V367" s="100"/>
      <c r="X367" s="104"/>
      <c r="Z367" s="100"/>
    </row>
    <row r="368" spans="4:26" ht="14.25" customHeight="1" x14ac:dyDescent="0.25">
      <c r="D368" s="116"/>
      <c r="G368" s="111"/>
      <c r="H368" s="98"/>
      <c r="I368" s="99"/>
      <c r="J368" s="100"/>
      <c r="K368" s="101"/>
      <c r="M368" s="99"/>
      <c r="N368" s="100"/>
      <c r="O368" s="102"/>
      <c r="Q368" s="103"/>
      <c r="R368" s="100"/>
      <c r="S368" s="102"/>
      <c r="U368" s="100"/>
      <c r="V368" s="100"/>
      <c r="X368" s="104"/>
      <c r="Z368" s="100"/>
    </row>
    <row r="369" spans="4:26" ht="14.25" customHeight="1" x14ac:dyDescent="0.25">
      <c r="D369" s="116"/>
      <c r="G369" s="111"/>
      <c r="H369" s="98"/>
      <c r="I369" s="99"/>
      <c r="J369" s="100"/>
      <c r="K369" s="101"/>
      <c r="M369" s="99"/>
      <c r="N369" s="100"/>
      <c r="O369" s="102"/>
      <c r="Q369" s="103"/>
      <c r="R369" s="100"/>
      <c r="S369" s="102"/>
      <c r="U369" s="100"/>
      <c r="V369" s="100"/>
      <c r="X369" s="104"/>
      <c r="Z369" s="100"/>
    </row>
    <row r="370" spans="4:26" ht="14.25" customHeight="1" x14ac:dyDescent="0.25">
      <c r="D370" s="116"/>
      <c r="G370" s="111"/>
      <c r="H370" s="98"/>
      <c r="I370" s="99"/>
      <c r="J370" s="100"/>
      <c r="K370" s="101"/>
      <c r="M370" s="99"/>
      <c r="N370" s="100"/>
      <c r="O370" s="102"/>
      <c r="Q370" s="103"/>
      <c r="R370" s="100"/>
      <c r="S370" s="102"/>
      <c r="U370" s="100"/>
      <c r="V370" s="100"/>
      <c r="X370" s="104"/>
      <c r="Z370" s="100"/>
    </row>
    <row r="371" spans="4:26" ht="14.25" customHeight="1" x14ac:dyDescent="0.25">
      <c r="D371" s="116"/>
      <c r="G371" s="111"/>
      <c r="H371" s="98"/>
      <c r="I371" s="99"/>
      <c r="J371" s="100"/>
      <c r="K371" s="101"/>
      <c r="M371" s="99"/>
      <c r="N371" s="100"/>
      <c r="O371" s="102"/>
      <c r="Q371" s="103"/>
      <c r="R371" s="100"/>
      <c r="S371" s="102"/>
      <c r="U371" s="100"/>
      <c r="V371" s="100"/>
      <c r="X371" s="104"/>
      <c r="Z371" s="100"/>
    </row>
    <row r="372" spans="4:26" ht="14.25" customHeight="1" x14ac:dyDescent="0.25">
      <c r="D372" s="116"/>
      <c r="G372" s="111"/>
      <c r="H372" s="98"/>
      <c r="I372" s="99"/>
      <c r="J372" s="100"/>
      <c r="K372" s="101"/>
      <c r="M372" s="99"/>
      <c r="N372" s="100"/>
      <c r="O372" s="102"/>
      <c r="Q372" s="103"/>
      <c r="R372" s="100"/>
      <c r="S372" s="102"/>
      <c r="U372" s="100"/>
      <c r="V372" s="100"/>
      <c r="X372" s="104"/>
      <c r="Z372" s="100"/>
    </row>
    <row r="373" spans="4:26" ht="14.25" customHeight="1" x14ac:dyDescent="0.25">
      <c r="D373" s="116"/>
      <c r="G373" s="111"/>
      <c r="H373" s="98"/>
      <c r="I373" s="99"/>
      <c r="J373" s="100"/>
      <c r="K373" s="101"/>
      <c r="M373" s="99"/>
      <c r="N373" s="100"/>
      <c r="O373" s="102"/>
      <c r="Q373" s="103"/>
      <c r="R373" s="100"/>
      <c r="S373" s="102"/>
      <c r="U373" s="100"/>
      <c r="V373" s="100"/>
      <c r="X373" s="104"/>
      <c r="Z373" s="100"/>
    </row>
    <row r="374" spans="4:26" ht="14.25" customHeight="1" x14ac:dyDescent="0.25">
      <c r="D374" s="116"/>
      <c r="G374" s="111"/>
      <c r="H374" s="98"/>
      <c r="I374" s="99"/>
      <c r="J374" s="100"/>
      <c r="K374" s="101"/>
      <c r="M374" s="99"/>
      <c r="N374" s="100"/>
      <c r="O374" s="102"/>
      <c r="Q374" s="103"/>
      <c r="R374" s="100"/>
      <c r="S374" s="102"/>
      <c r="U374" s="100"/>
      <c r="V374" s="100"/>
      <c r="X374" s="104"/>
      <c r="Z374" s="100"/>
    </row>
    <row r="375" spans="4:26" ht="14.25" customHeight="1" x14ac:dyDescent="0.25">
      <c r="D375" s="116"/>
      <c r="G375" s="111"/>
      <c r="H375" s="98"/>
      <c r="I375" s="99"/>
      <c r="J375" s="100"/>
      <c r="K375" s="101"/>
      <c r="M375" s="99"/>
      <c r="N375" s="100"/>
      <c r="O375" s="102"/>
      <c r="Q375" s="103"/>
      <c r="R375" s="100"/>
      <c r="S375" s="102"/>
      <c r="U375" s="100"/>
      <c r="V375" s="100"/>
      <c r="X375" s="104"/>
      <c r="Z375" s="100"/>
    </row>
    <row r="376" spans="4:26" ht="14.25" customHeight="1" x14ac:dyDescent="0.25">
      <c r="D376" s="116"/>
      <c r="G376" s="111"/>
      <c r="H376" s="98"/>
      <c r="I376" s="99"/>
      <c r="J376" s="100"/>
      <c r="K376" s="101"/>
      <c r="M376" s="99"/>
      <c r="N376" s="100"/>
      <c r="O376" s="102"/>
      <c r="Q376" s="103"/>
      <c r="R376" s="100"/>
      <c r="S376" s="102"/>
      <c r="U376" s="100"/>
      <c r="V376" s="100"/>
      <c r="X376" s="104"/>
      <c r="Z376" s="100"/>
    </row>
    <row r="377" spans="4:26" ht="14.25" customHeight="1" x14ac:dyDescent="0.25">
      <c r="D377" s="116"/>
      <c r="G377" s="111"/>
      <c r="H377" s="98"/>
      <c r="I377" s="99"/>
      <c r="J377" s="100"/>
      <c r="K377" s="101"/>
      <c r="M377" s="99"/>
      <c r="N377" s="100"/>
      <c r="O377" s="102"/>
      <c r="Q377" s="103"/>
      <c r="R377" s="100"/>
      <c r="S377" s="102"/>
      <c r="U377" s="100"/>
      <c r="V377" s="100"/>
      <c r="X377" s="104"/>
      <c r="Z377" s="100"/>
    </row>
    <row r="378" spans="4:26" ht="14.25" customHeight="1" x14ac:dyDescent="0.25">
      <c r="D378" s="116"/>
      <c r="G378" s="111"/>
      <c r="H378" s="98"/>
      <c r="I378" s="99"/>
      <c r="J378" s="100"/>
      <c r="K378" s="101"/>
      <c r="M378" s="99"/>
      <c r="N378" s="100"/>
      <c r="O378" s="102"/>
      <c r="Q378" s="103"/>
      <c r="R378" s="100"/>
      <c r="S378" s="102"/>
      <c r="U378" s="100"/>
      <c r="V378" s="100"/>
      <c r="X378" s="104"/>
      <c r="Z378" s="100"/>
    </row>
    <row r="379" spans="4:26" ht="14.25" customHeight="1" x14ac:dyDescent="0.25">
      <c r="D379" s="116"/>
      <c r="G379" s="111"/>
      <c r="H379" s="98"/>
      <c r="I379" s="99"/>
      <c r="J379" s="100"/>
      <c r="K379" s="101"/>
      <c r="M379" s="99"/>
      <c r="N379" s="100"/>
      <c r="O379" s="102"/>
      <c r="Q379" s="103"/>
      <c r="R379" s="100"/>
      <c r="S379" s="102"/>
      <c r="U379" s="100"/>
      <c r="V379" s="100"/>
      <c r="X379" s="104"/>
      <c r="Z379" s="100"/>
    </row>
    <row r="380" spans="4:26" ht="14.25" customHeight="1" x14ac:dyDescent="0.25">
      <c r="D380" s="116"/>
      <c r="G380" s="111"/>
      <c r="H380" s="98"/>
      <c r="I380" s="99"/>
      <c r="J380" s="100"/>
      <c r="K380" s="101"/>
      <c r="M380" s="99"/>
      <c r="N380" s="100"/>
      <c r="O380" s="102"/>
      <c r="Q380" s="103"/>
      <c r="R380" s="100"/>
      <c r="S380" s="102"/>
      <c r="U380" s="100"/>
      <c r="V380" s="100"/>
      <c r="X380" s="104"/>
      <c r="Z380" s="100"/>
    </row>
    <row r="381" spans="4:26" ht="14.25" customHeight="1" x14ac:dyDescent="0.25">
      <c r="D381" s="116"/>
      <c r="G381" s="111"/>
      <c r="H381" s="98"/>
      <c r="I381" s="99"/>
      <c r="J381" s="100"/>
      <c r="K381" s="101"/>
      <c r="M381" s="99"/>
      <c r="N381" s="100"/>
      <c r="O381" s="102"/>
      <c r="Q381" s="103"/>
      <c r="R381" s="100"/>
      <c r="S381" s="102"/>
      <c r="U381" s="100"/>
      <c r="V381" s="100"/>
      <c r="X381" s="104"/>
      <c r="Z381" s="100"/>
    </row>
    <row r="382" spans="4:26" ht="14.25" customHeight="1" x14ac:dyDescent="0.25">
      <c r="D382" s="116"/>
      <c r="G382" s="111"/>
      <c r="H382" s="98"/>
      <c r="I382" s="99"/>
      <c r="J382" s="100"/>
      <c r="K382" s="101"/>
      <c r="M382" s="99"/>
      <c r="N382" s="100"/>
      <c r="O382" s="102"/>
      <c r="Q382" s="103"/>
      <c r="R382" s="100"/>
      <c r="S382" s="102"/>
      <c r="U382" s="100"/>
      <c r="V382" s="100"/>
      <c r="X382" s="104"/>
      <c r="Z382" s="100"/>
    </row>
    <row r="383" spans="4:26" ht="14.25" customHeight="1" x14ac:dyDescent="0.25">
      <c r="D383" s="116"/>
      <c r="G383" s="111"/>
      <c r="H383" s="98"/>
      <c r="I383" s="99"/>
      <c r="J383" s="100"/>
      <c r="K383" s="101"/>
      <c r="M383" s="99"/>
      <c r="N383" s="100"/>
      <c r="O383" s="102"/>
      <c r="Q383" s="103"/>
      <c r="R383" s="100"/>
      <c r="S383" s="102"/>
      <c r="U383" s="100"/>
      <c r="V383" s="100"/>
      <c r="X383" s="104"/>
      <c r="Z383" s="100"/>
    </row>
    <row r="384" spans="4:26" ht="14.25" customHeight="1" x14ac:dyDescent="0.25">
      <c r="D384" s="116"/>
      <c r="G384" s="111"/>
      <c r="H384" s="98"/>
      <c r="I384" s="99"/>
      <c r="J384" s="100"/>
      <c r="K384" s="101"/>
      <c r="M384" s="99"/>
      <c r="N384" s="100"/>
      <c r="O384" s="102"/>
      <c r="Q384" s="103"/>
      <c r="R384" s="100"/>
      <c r="S384" s="102"/>
      <c r="U384" s="100"/>
      <c r="V384" s="100"/>
      <c r="X384" s="104"/>
      <c r="Z384" s="100"/>
    </row>
    <row r="385" spans="4:26" ht="14.25" customHeight="1" x14ac:dyDescent="0.25">
      <c r="D385" s="116"/>
      <c r="G385" s="111"/>
      <c r="H385" s="98"/>
      <c r="I385" s="99"/>
      <c r="J385" s="100"/>
      <c r="K385" s="101"/>
      <c r="M385" s="99"/>
      <c r="N385" s="100"/>
      <c r="O385" s="102"/>
      <c r="Q385" s="103"/>
      <c r="R385" s="100"/>
      <c r="S385" s="102"/>
      <c r="U385" s="100"/>
      <c r="V385" s="100"/>
      <c r="X385" s="104"/>
      <c r="Z385" s="100"/>
    </row>
    <row r="386" spans="4:26" ht="14.25" customHeight="1" x14ac:dyDescent="0.25">
      <c r="D386" s="116"/>
      <c r="G386" s="111"/>
      <c r="H386" s="98"/>
      <c r="I386" s="99"/>
      <c r="J386" s="100"/>
      <c r="K386" s="101"/>
      <c r="M386" s="99"/>
      <c r="N386" s="100"/>
      <c r="O386" s="102"/>
      <c r="Q386" s="103"/>
      <c r="R386" s="100"/>
      <c r="S386" s="102"/>
      <c r="U386" s="100"/>
      <c r="V386" s="100"/>
      <c r="X386" s="104"/>
      <c r="Z386" s="100"/>
    </row>
    <row r="387" spans="4:26" ht="14.25" customHeight="1" x14ac:dyDescent="0.25">
      <c r="D387" s="116"/>
      <c r="G387" s="111"/>
      <c r="H387" s="98"/>
      <c r="I387" s="99"/>
      <c r="J387" s="100"/>
      <c r="K387" s="101"/>
      <c r="M387" s="99"/>
      <c r="N387" s="100"/>
      <c r="O387" s="102"/>
      <c r="Q387" s="103"/>
      <c r="R387" s="100"/>
      <c r="S387" s="102"/>
      <c r="U387" s="100"/>
      <c r="V387" s="100"/>
      <c r="X387" s="104"/>
      <c r="Z387" s="100"/>
    </row>
    <row r="388" spans="4:26" ht="14.25" customHeight="1" x14ac:dyDescent="0.25">
      <c r="D388" s="116"/>
      <c r="G388" s="111"/>
      <c r="H388" s="98"/>
      <c r="I388" s="99"/>
      <c r="J388" s="100"/>
      <c r="K388" s="101"/>
      <c r="M388" s="99"/>
      <c r="N388" s="100"/>
      <c r="O388" s="102"/>
      <c r="Q388" s="103"/>
      <c r="R388" s="100"/>
      <c r="S388" s="102"/>
      <c r="U388" s="100"/>
      <c r="V388" s="100"/>
      <c r="X388" s="104"/>
      <c r="Z388" s="100"/>
    </row>
    <row r="389" spans="4:26" ht="14.25" customHeight="1" x14ac:dyDescent="0.25">
      <c r="D389" s="116"/>
      <c r="G389" s="111"/>
      <c r="H389" s="98"/>
      <c r="I389" s="99"/>
      <c r="J389" s="100"/>
      <c r="K389" s="101"/>
      <c r="M389" s="99"/>
      <c r="N389" s="100"/>
      <c r="O389" s="102"/>
      <c r="Q389" s="103"/>
      <c r="R389" s="100"/>
      <c r="S389" s="102"/>
      <c r="U389" s="100"/>
      <c r="V389" s="100"/>
      <c r="X389" s="104"/>
      <c r="Z389" s="100"/>
    </row>
    <row r="390" spans="4:26" ht="14.25" customHeight="1" x14ac:dyDescent="0.25">
      <c r="D390" s="116"/>
      <c r="G390" s="111"/>
      <c r="H390" s="98"/>
      <c r="I390" s="99"/>
      <c r="J390" s="100"/>
      <c r="K390" s="101"/>
      <c r="M390" s="99"/>
      <c r="N390" s="100"/>
      <c r="O390" s="102"/>
      <c r="Q390" s="103"/>
      <c r="R390" s="100"/>
      <c r="S390" s="102"/>
      <c r="U390" s="100"/>
      <c r="V390" s="100"/>
      <c r="X390" s="104"/>
      <c r="Z390" s="100"/>
    </row>
    <row r="391" spans="4:26" ht="14.25" customHeight="1" x14ac:dyDescent="0.25">
      <c r="D391" s="116"/>
      <c r="G391" s="111"/>
      <c r="H391" s="98"/>
      <c r="I391" s="99"/>
      <c r="J391" s="100"/>
      <c r="K391" s="101"/>
      <c r="M391" s="99"/>
      <c r="N391" s="100"/>
      <c r="O391" s="102"/>
      <c r="Q391" s="103"/>
      <c r="R391" s="100"/>
      <c r="S391" s="102"/>
      <c r="U391" s="100"/>
      <c r="V391" s="100"/>
      <c r="X391" s="104"/>
      <c r="Z391" s="100"/>
    </row>
    <row r="392" spans="4:26" ht="14.25" customHeight="1" x14ac:dyDescent="0.25">
      <c r="D392" s="116"/>
      <c r="G392" s="111"/>
      <c r="H392" s="98"/>
      <c r="I392" s="99"/>
      <c r="J392" s="100"/>
      <c r="K392" s="101"/>
      <c r="M392" s="99"/>
      <c r="N392" s="100"/>
      <c r="O392" s="102"/>
      <c r="Q392" s="103"/>
      <c r="R392" s="100"/>
      <c r="S392" s="102"/>
      <c r="U392" s="100"/>
      <c r="V392" s="100"/>
      <c r="X392" s="104"/>
      <c r="Z392" s="100"/>
    </row>
    <row r="393" spans="4:26" ht="14.25" customHeight="1" x14ac:dyDescent="0.25">
      <c r="D393" s="116"/>
      <c r="G393" s="111"/>
      <c r="H393" s="98"/>
      <c r="I393" s="99"/>
      <c r="J393" s="100"/>
      <c r="K393" s="101"/>
      <c r="M393" s="99"/>
      <c r="N393" s="100"/>
      <c r="O393" s="102"/>
      <c r="Q393" s="103"/>
      <c r="R393" s="100"/>
      <c r="S393" s="102"/>
      <c r="U393" s="100"/>
      <c r="V393" s="100"/>
      <c r="X393" s="104"/>
      <c r="Z393" s="100"/>
    </row>
    <row r="394" spans="4:26" ht="14.25" customHeight="1" x14ac:dyDescent="0.25">
      <c r="D394" s="116"/>
      <c r="G394" s="111"/>
      <c r="H394" s="98"/>
      <c r="I394" s="99"/>
      <c r="J394" s="100"/>
      <c r="K394" s="101"/>
      <c r="M394" s="99"/>
      <c r="N394" s="100"/>
      <c r="O394" s="102"/>
      <c r="Q394" s="103"/>
      <c r="R394" s="100"/>
      <c r="S394" s="102"/>
      <c r="U394" s="100"/>
      <c r="V394" s="100"/>
      <c r="X394" s="104"/>
      <c r="Z394" s="100"/>
    </row>
    <row r="395" spans="4:26" ht="14.25" customHeight="1" x14ac:dyDescent="0.25">
      <c r="D395" s="116"/>
      <c r="G395" s="111"/>
      <c r="H395" s="98"/>
      <c r="I395" s="99"/>
      <c r="J395" s="100"/>
      <c r="K395" s="101"/>
      <c r="M395" s="99"/>
      <c r="N395" s="100"/>
      <c r="O395" s="102"/>
      <c r="Q395" s="103"/>
      <c r="R395" s="100"/>
      <c r="S395" s="102"/>
      <c r="U395" s="100"/>
      <c r="V395" s="100"/>
      <c r="X395" s="104"/>
      <c r="Z395" s="100"/>
    </row>
    <row r="396" spans="4:26" ht="14.25" customHeight="1" x14ac:dyDescent="0.25">
      <c r="D396" s="116"/>
      <c r="G396" s="111"/>
      <c r="H396" s="98"/>
      <c r="I396" s="99"/>
      <c r="J396" s="100"/>
      <c r="K396" s="101"/>
      <c r="M396" s="99"/>
      <c r="N396" s="100"/>
      <c r="O396" s="102"/>
      <c r="Q396" s="103"/>
      <c r="R396" s="100"/>
      <c r="S396" s="102"/>
      <c r="U396" s="100"/>
      <c r="V396" s="100"/>
      <c r="X396" s="104"/>
      <c r="Z396" s="100"/>
    </row>
    <row r="397" spans="4:26" ht="14.25" customHeight="1" x14ac:dyDescent="0.25">
      <c r="D397" s="116"/>
      <c r="G397" s="111"/>
      <c r="H397" s="98"/>
      <c r="I397" s="99"/>
      <c r="J397" s="100"/>
      <c r="K397" s="101"/>
      <c r="M397" s="99"/>
      <c r="N397" s="100"/>
      <c r="O397" s="102"/>
      <c r="Q397" s="103"/>
      <c r="R397" s="100"/>
      <c r="S397" s="102"/>
      <c r="U397" s="100"/>
      <c r="V397" s="100"/>
      <c r="X397" s="104"/>
      <c r="Z397" s="100"/>
    </row>
    <row r="398" spans="4:26" ht="14.25" customHeight="1" x14ac:dyDescent="0.25">
      <c r="D398" s="116"/>
      <c r="G398" s="111"/>
      <c r="H398" s="98"/>
      <c r="I398" s="99"/>
      <c r="J398" s="100"/>
      <c r="K398" s="101"/>
      <c r="M398" s="99"/>
      <c r="N398" s="100"/>
      <c r="O398" s="102"/>
      <c r="Q398" s="103"/>
      <c r="R398" s="100"/>
      <c r="S398" s="102"/>
      <c r="U398" s="100"/>
      <c r="V398" s="100"/>
      <c r="X398" s="104"/>
      <c r="Z398" s="100"/>
    </row>
    <row r="399" spans="4:26" ht="14.25" customHeight="1" x14ac:dyDescent="0.25">
      <c r="D399" s="116"/>
      <c r="G399" s="111"/>
      <c r="H399" s="98"/>
      <c r="I399" s="99"/>
      <c r="J399" s="100"/>
      <c r="K399" s="101"/>
      <c r="M399" s="99"/>
      <c r="N399" s="100"/>
      <c r="O399" s="102"/>
      <c r="Q399" s="103"/>
      <c r="R399" s="100"/>
      <c r="S399" s="102"/>
      <c r="U399" s="100"/>
      <c r="V399" s="100"/>
      <c r="X399" s="104"/>
      <c r="Z399" s="100"/>
    </row>
    <row r="400" spans="4:26" ht="14.25" customHeight="1" x14ac:dyDescent="0.25">
      <c r="D400" s="116"/>
      <c r="G400" s="111"/>
      <c r="H400" s="98"/>
      <c r="I400" s="99"/>
      <c r="J400" s="100"/>
      <c r="K400" s="101"/>
      <c r="M400" s="99"/>
      <c r="N400" s="100"/>
      <c r="O400" s="102"/>
      <c r="Q400" s="103"/>
      <c r="R400" s="100"/>
      <c r="S400" s="102"/>
      <c r="U400" s="100"/>
      <c r="V400" s="100"/>
      <c r="X400" s="104"/>
      <c r="Z400" s="100"/>
    </row>
    <row r="401" spans="4:26" ht="14.25" customHeight="1" x14ac:dyDescent="0.25">
      <c r="D401" s="116"/>
      <c r="G401" s="111"/>
      <c r="H401" s="98"/>
      <c r="I401" s="99"/>
      <c r="J401" s="100"/>
      <c r="K401" s="101"/>
      <c r="M401" s="99"/>
      <c r="N401" s="100"/>
      <c r="O401" s="102"/>
      <c r="Q401" s="103"/>
      <c r="R401" s="100"/>
      <c r="S401" s="102"/>
      <c r="U401" s="100"/>
      <c r="V401" s="100"/>
      <c r="X401" s="104"/>
      <c r="Z401" s="100"/>
    </row>
    <row r="402" spans="4:26" ht="14.25" customHeight="1" x14ac:dyDescent="0.25">
      <c r="D402" s="116"/>
      <c r="G402" s="111"/>
      <c r="H402" s="98"/>
      <c r="I402" s="99"/>
      <c r="J402" s="100"/>
      <c r="K402" s="101"/>
      <c r="M402" s="99"/>
      <c r="N402" s="100"/>
      <c r="O402" s="102"/>
      <c r="Q402" s="103"/>
      <c r="R402" s="100"/>
      <c r="S402" s="102"/>
      <c r="U402" s="100"/>
      <c r="V402" s="100"/>
      <c r="X402" s="104"/>
      <c r="Z402" s="100"/>
    </row>
    <row r="403" spans="4:26" ht="14.25" customHeight="1" x14ac:dyDescent="0.25">
      <c r="D403" s="116"/>
      <c r="G403" s="111"/>
      <c r="H403" s="98"/>
      <c r="I403" s="99"/>
      <c r="J403" s="100"/>
      <c r="K403" s="101"/>
      <c r="M403" s="99"/>
      <c r="N403" s="100"/>
      <c r="O403" s="102"/>
      <c r="Q403" s="103"/>
      <c r="R403" s="100"/>
      <c r="S403" s="102"/>
      <c r="U403" s="100"/>
      <c r="V403" s="100"/>
      <c r="X403" s="104"/>
      <c r="Z403" s="100"/>
    </row>
    <row r="404" spans="4:26" ht="14.25" customHeight="1" x14ac:dyDescent="0.25">
      <c r="D404" s="116"/>
      <c r="G404" s="111"/>
      <c r="H404" s="98"/>
      <c r="I404" s="99"/>
      <c r="J404" s="100"/>
      <c r="K404" s="101"/>
      <c r="M404" s="99"/>
      <c r="N404" s="100"/>
      <c r="O404" s="102"/>
      <c r="Q404" s="103"/>
      <c r="R404" s="100"/>
      <c r="S404" s="102"/>
      <c r="U404" s="100"/>
      <c r="V404" s="100"/>
      <c r="X404" s="104"/>
      <c r="Z404" s="100"/>
    </row>
    <row r="405" spans="4:26" ht="14.25" customHeight="1" x14ac:dyDescent="0.25">
      <c r="D405" s="116"/>
      <c r="G405" s="111"/>
      <c r="H405" s="98"/>
      <c r="I405" s="99"/>
      <c r="J405" s="100"/>
      <c r="K405" s="101"/>
      <c r="M405" s="99"/>
      <c r="N405" s="100"/>
      <c r="O405" s="102"/>
      <c r="Q405" s="103"/>
      <c r="R405" s="100"/>
      <c r="S405" s="102"/>
      <c r="U405" s="100"/>
      <c r="V405" s="100"/>
      <c r="X405" s="104"/>
      <c r="Z405" s="100"/>
    </row>
    <row r="406" spans="4:26" ht="14.25" customHeight="1" x14ac:dyDescent="0.25">
      <c r="D406" s="116"/>
      <c r="G406" s="111"/>
      <c r="H406" s="98"/>
      <c r="I406" s="99"/>
      <c r="J406" s="100"/>
      <c r="K406" s="101"/>
      <c r="M406" s="99"/>
      <c r="N406" s="100"/>
      <c r="O406" s="102"/>
      <c r="Q406" s="103"/>
      <c r="R406" s="100"/>
      <c r="S406" s="102"/>
      <c r="U406" s="100"/>
      <c r="V406" s="100"/>
      <c r="X406" s="104"/>
      <c r="Z406" s="100"/>
    </row>
    <row r="407" spans="4:26" ht="14.25" customHeight="1" x14ac:dyDescent="0.25">
      <c r="D407" s="116"/>
      <c r="G407" s="111"/>
      <c r="H407" s="98"/>
      <c r="I407" s="99"/>
      <c r="J407" s="100"/>
      <c r="K407" s="101"/>
      <c r="M407" s="99"/>
      <c r="N407" s="100"/>
      <c r="O407" s="102"/>
      <c r="Q407" s="103"/>
      <c r="R407" s="100"/>
      <c r="S407" s="102"/>
      <c r="U407" s="100"/>
      <c r="V407" s="100"/>
      <c r="X407" s="104"/>
      <c r="Z407" s="100"/>
    </row>
    <row r="408" spans="4:26" ht="14.25" customHeight="1" x14ac:dyDescent="0.25">
      <c r="D408" s="116"/>
      <c r="G408" s="111"/>
      <c r="H408" s="98"/>
      <c r="I408" s="99"/>
      <c r="J408" s="100"/>
      <c r="K408" s="101"/>
      <c r="M408" s="99"/>
      <c r="N408" s="100"/>
      <c r="O408" s="102"/>
      <c r="Q408" s="103"/>
      <c r="R408" s="100"/>
      <c r="S408" s="102"/>
      <c r="U408" s="100"/>
      <c r="V408" s="100"/>
      <c r="X408" s="104"/>
      <c r="Z408" s="100"/>
    </row>
    <row r="409" spans="4:26" ht="14.25" customHeight="1" x14ac:dyDescent="0.25">
      <c r="D409" s="116"/>
      <c r="G409" s="111"/>
      <c r="H409" s="98"/>
      <c r="I409" s="99"/>
      <c r="J409" s="100"/>
      <c r="K409" s="101"/>
      <c r="M409" s="99"/>
      <c r="N409" s="100"/>
      <c r="O409" s="102"/>
      <c r="Q409" s="103"/>
      <c r="R409" s="100"/>
      <c r="S409" s="102"/>
      <c r="U409" s="100"/>
      <c r="V409" s="100"/>
      <c r="X409" s="104"/>
      <c r="Z409" s="100"/>
    </row>
    <row r="410" spans="4:26" ht="14.25" customHeight="1" x14ac:dyDescent="0.25">
      <c r="D410" s="116"/>
      <c r="G410" s="111"/>
      <c r="H410" s="98"/>
      <c r="I410" s="99"/>
      <c r="J410" s="100"/>
      <c r="K410" s="101"/>
      <c r="M410" s="99"/>
      <c r="N410" s="100"/>
      <c r="O410" s="102"/>
      <c r="Q410" s="103"/>
      <c r="R410" s="100"/>
      <c r="S410" s="102"/>
      <c r="U410" s="100"/>
      <c r="V410" s="100"/>
      <c r="X410" s="104"/>
      <c r="Z410" s="100"/>
    </row>
    <row r="411" spans="4:26" ht="14.25" customHeight="1" x14ac:dyDescent="0.25">
      <c r="D411" s="116"/>
      <c r="G411" s="111"/>
      <c r="H411" s="98"/>
      <c r="I411" s="99"/>
      <c r="J411" s="100"/>
      <c r="K411" s="101"/>
      <c r="M411" s="99"/>
      <c r="N411" s="100"/>
      <c r="O411" s="102"/>
      <c r="Q411" s="103"/>
      <c r="R411" s="100"/>
      <c r="S411" s="102"/>
      <c r="U411" s="100"/>
      <c r="V411" s="100"/>
      <c r="X411" s="104"/>
      <c r="Z411" s="100"/>
    </row>
    <row r="412" spans="4:26" ht="14.25" customHeight="1" x14ac:dyDescent="0.25">
      <c r="D412" s="116"/>
      <c r="G412" s="111"/>
      <c r="H412" s="98"/>
      <c r="I412" s="99"/>
      <c r="J412" s="100"/>
      <c r="K412" s="101"/>
      <c r="M412" s="99"/>
      <c r="N412" s="100"/>
      <c r="O412" s="102"/>
      <c r="Q412" s="103"/>
      <c r="R412" s="100"/>
      <c r="S412" s="102"/>
      <c r="U412" s="100"/>
      <c r="V412" s="100"/>
      <c r="X412" s="104"/>
      <c r="Z412" s="100"/>
    </row>
    <row r="413" spans="4:26" ht="14.25" customHeight="1" x14ac:dyDescent="0.25">
      <c r="D413" s="116"/>
      <c r="G413" s="111"/>
      <c r="H413" s="98"/>
      <c r="I413" s="99"/>
      <c r="J413" s="100"/>
      <c r="K413" s="101"/>
      <c r="M413" s="99"/>
      <c r="N413" s="100"/>
      <c r="O413" s="102"/>
      <c r="Q413" s="103"/>
      <c r="R413" s="100"/>
      <c r="S413" s="102"/>
      <c r="U413" s="100"/>
      <c r="V413" s="100"/>
      <c r="X413" s="104"/>
      <c r="Z413" s="100"/>
    </row>
    <row r="414" spans="4:26" ht="14.25" customHeight="1" x14ac:dyDescent="0.25">
      <c r="D414" s="116"/>
      <c r="G414" s="111"/>
      <c r="H414" s="98"/>
      <c r="I414" s="99"/>
      <c r="J414" s="100"/>
      <c r="K414" s="101"/>
      <c r="M414" s="99"/>
      <c r="N414" s="100"/>
      <c r="O414" s="102"/>
      <c r="Q414" s="103"/>
      <c r="R414" s="100"/>
      <c r="S414" s="102"/>
      <c r="U414" s="100"/>
      <c r="V414" s="100"/>
      <c r="X414" s="104"/>
      <c r="Z414" s="100"/>
    </row>
    <row r="415" spans="4:26" ht="14.25" customHeight="1" x14ac:dyDescent="0.25">
      <c r="D415" s="116"/>
      <c r="G415" s="111"/>
      <c r="H415" s="98"/>
      <c r="I415" s="99"/>
      <c r="J415" s="100"/>
      <c r="K415" s="101"/>
      <c r="M415" s="99"/>
      <c r="N415" s="100"/>
      <c r="O415" s="102"/>
      <c r="Q415" s="103"/>
      <c r="R415" s="100"/>
      <c r="S415" s="102"/>
      <c r="U415" s="100"/>
      <c r="V415" s="100"/>
      <c r="X415" s="104"/>
      <c r="Z415" s="100"/>
    </row>
    <row r="416" spans="4:26" ht="14.25" customHeight="1" x14ac:dyDescent="0.25">
      <c r="D416" s="116"/>
      <c r="G416" s="111"/>
      <c r="H416" s="98"/>
      <c r="I416" s="99"/>
      <c r="J416" s="100"/>
      <c r="K416" s="101"/>
      <c r="M416" s="99"/>
      <c r="N416" s="100"/>
      <c r="O416" s="102"/>
      <c r="Q416" s="103"/>
      <c r="R416" s="100"/>
      <c r="S416" s="102"/>
      <c r="U416" s="100"/>
      <c r="V416" s="100"/>
      <c r="X416" s="104"/>
      <c r="Z416" s="100"/>
    </row>
    <row r="417" spans="4:26" ht="14.25" customHeight="1" x14ac:dyDescent="0.25">
      <c r="D417" s="116"/>
      <c r="G417" s="111"/>
      <c r="H417" s="98"/>
      <c r="I417" s="99"/>
      <c r="J417" s="100"/>
      <c r="K417" s="101"/>
      <c r="M417" s="99"/>
      <c r="N417" s="100"/>
      <c r="O417" s="102"/>
      <c r="Q417" s="103"/>
      <c r="R417" s="100"/>
      <c r="S417" s="102"/>
      <c r="U417" s="100"/>
      <c r="V417" s="100"/>
      <c r="X417" s="104"/>
      <c r="Z417" s="100"/>
    </row>
    <row r="418" spans="4:26" ht="14.25" customHeight="1" x14ac:dyDescent="0.25">
      <c r="D418" s="116"/>
      <c r="G418" s="111"/>
      <c r="H418" s="98"/>
      <c r="I418" s="99"/>
      <c r="J418" s="100"/>
      <c r="K418" s="101"/>
      <c r="M418" s="99"/>
      <c r="N418" s="100"/>
      <c r="O418" s="102"/>
      <c r="Q418" s="103"/>
      <c r="R418" s="100"/>
      <c r="S418" s="102"/>
      <c r="U418" s="100"/>
      <c r="V418" s="100"/>
      <c r="X418" s="104"/>
      <c r="Z418" s="100"/>
    </row>
    <row r="419" spans="4:26" ht="14.25" customHeight="1" x14ac:dyDescent="0.25">
      <c r="D419" s="116"/>
      <c r="G419" s="111"/>
      <c r="H419" s="98"/>
      <c r="I419" s="99"/>
      <c r="J419" s="100"/>
      <c r="K419" s="101"/>
      <c r="M419" s="99"/>
      <c r="N419" s="100"/>
      <c r="O419" s="102"/>
      <c r="Q419" s="103"/>
      <c r="R419" s="100"/>
      <c r="S419" s="102"/>
      <c r="U419" s="100"/>
      <c r="V419" s="100"/>
      <c r="X419" s="104"/>
      <c r="Z419" s="100"/>
    </row>
    <row r="420" spans="4:26" ht="14.25" customHeight="1" x14ac:dyDescent="0.25">
      <c r="D420" s="116"/>
      <c r="G420" s="111"/>
      <c r="H420" s="98"/>
      <c r="I420" s="99"/>
      <c r="J420" s="100"/>
      <c r="K420" s="101"/>
      <c r="M420" s="99"/>
      <c r="N420" s="100"/>
      <c r="O420" s="102"/>
      <c r="Q420" s="103"/>
      <c r="R420" s="100"/>
      <c r="S420" s="102"/>
      <c r="U420" s="100"/>
      <c r="V420" s="100"/>
      <c r="X420" s="104"/>
      <c r="Z420" s="100"/>
    </row>
    <row r="421" spans="4:26" ht="14.25" customHeight="1" x14ac:dyDescent="0.25">
      <c r="D421" s="116"/>
      <c r="G421" s="111"/>
      <c r="H421" s="98"/>
      <c r="I421" s="99"/>
      <c r="J421" s="100"/>
      <c r="K421" s="101"/>
      <c r="M421" s="99"/>
      <c r="N421" s="100"/>
      <c r="O421" s="102"/>
      <c r="Q421" s="103"/>
      <c r="R421" s="100"/>
      <c r="S421" s="102"/>
      <c r="U421" s="100"/>
      <c r="V421" s="100"/>
      <c r="X421" s="104"/>
      <c r="Z421" s="100"/>
    </row>
    <row r="422" spans="4:26" ht="14.25" customHeight="1" x14ac:dyDescent="0.25">
      <c r="D422" s="116"/>
      <c r="G422" s="111"/>
      <c r="H422" s="98"/>
      <c r="I422" s="99"/>
      <c r="J422" s="100"/>
      <c r="K422" s="101"/>
      <c r="M422" s="99"/>
      <c r="N422" s="100"/>
      <c r="O422" s="102"/>
      <c r="Q422" s="103"/>
      <c r="R422" s="100"/>
      <c r="S422" s="102"/>
      <c r="U422" s="100"/>
      <c r="V422" s="100"/>
      <c r="X422" s="104"/>
      <c r="Z422" s="100"/>
    </row>
    <row r="423" spans="4:26" ht="14.25" customHeight="1" x14ac:dyDescent="0.25">
      <c r="D423" s="116"/>
      <c r="G423" s="111"/>
      <c r="H423" s="98"/>
      <c r="I423" s="99"/>
      <c r="J423" s="100"/>
      <c r="K423" s="101"/>
      <c r="M423" s="99"/>
      <c r="N423" s="100"/>
      <c r="O423" s="102"/>
      <c r="Q423" s="103"/>
      <c r="R423" s="100"/>
      <c r="S423" s="102"/>
      <c r="U423" s="100"/>
      <c r="V423" s="100"/>
      <c r="X423" s="104"/>
      <c r="Z423" s="100"/>
    </row>
    <row r="424" spans="4:26" ht="14.25" customHeight="1" x14ac:dyDescent="0.25">
      <c r="D424" s="116"/>
      <c r="G424" s="111"/>
      <c r="H424" s="98"/>
      <c r="I424" s="99"/>
      <c r="J424" s="100"/>
      <c r="K424" s="101"/>
      <c r="M424" s="99"/>
      <c r="N424" s="100"/>
      <c r="O424" s="102"/>
      <c r="Q424" s="103"/>
      <c r="R424" s="100"/>
      <c r="S424" s="102"/>
      <c r="U424" s="100"/>
      <c r="V424" s="100"/>
      <c r="X424" s="104"/>
      <c r="Z424" s="100"/>
    </row>
    <row r="425" spans="4:26" ht="14.25" customHeight="1" x14ac:dyDescent="0.25">
      <c r="D425" s="116"/>
      <c r="G425" s="111"/>
      <c r="H425" s="98"/>
      <c r="I425" s="99"/>
      <c r="J425" s="100"/>
      <c r="K425" s="101"/>
      <c r="M425" s="99"/>
      <c r="N425" s="100"/>
      <c r="O425" s="102"/>
      <c r="Q425" s="103"/>
      <c r="R425" s="100"/>
      <c r="S425" s="102"/>
      <c r="U425" s="100"/>
      <c r="V425" s="100"/>
      <c r="X425" s="104"/>
      <c r="Z425" s="100"/>
    </row>
    <row r="426" spans="4:26" ht="14.25" customHeight="1" x14ac:dyDescent="0.25">
      <c r="D426" s="116"/>
      <c r="G426" s="111"/>
      <c r="H426" s="98"/>
      <c r="I426" s="99"/>
      <c r="J426" s="100"/>
      <c r="K426" s="101"/>
      <c r="M426" s="99"/>
      <c r="N426" s="100"/>
      <c r="O426" s="102"/>
      <c r="Q426" s="103"/>
      <c r="R426" s="100"/>
      <c r="S426" s="102"/>
      <c r="U426" s="100"/>
      <c r="V426" s="100"/>
      <c r="X426" s="104"/>
      <c r="Z426" s="100"/>
    </row>
    <row r="427" spans="4:26" ht="14.25" customHeight="1" x14ac:dyDescent="0.25">
      <c r="D427" s="116"/>
      <c r="G427" s="111"/>
      <c r="H427" s="98"/>
      <c r="I427" s="99"/>
      <c r="J427" s="100"/>
      <c r="K427" s="101"/>
      <c r="M427" s="99"/>
      <c r="N427" s="100"/>
      <c r="O427" s="102"/>
      <c r="Q427" s="103"/>
      <c r="R427" s="100"/>
      <c r="S427" s="102"/>
      <c r="U427" s="100"/>
      <c r="V427" s="100"/>
      <c r="X427" s="104"/>
      <c r="Z427" s="100"/>
    </row>
    <row r="428" spans="4:26" ht="14.25" customHeight="1" x14ac:dyDescent="0.25">
      <c r="D428" s="116"/>
      <c r="G428" s="111"/>
      <c r="H428" s="98"/>
      <c r="I428" s="99"/>
      <c r="J428" s="100"/>
      <c r="K428" s="101"/>
      <c r="M428" s="99"/>
      <c r="N428" s="100"/>
      <c r="O428" s="102"/>
      <c r="Q428" s="103"/>
      <c r="R428" s="100"/>
      <c r="S428" s="102"/>
      <c r="U428" s="100"/>
      <c r="V428" s="100"/>
      <c r="X428" s="104"/>
      <c r="Z428" s="100"/>
    </row>
    <row r="429" spans="4:26" ht="14.25" customHeight="1" x14ac:dyDescent="0.25">
      <c r="D429" s="116"/>
      <c r="G429" s="111"/>
      <c r="H429" s="98"/>
      <c r="I429" s="99"/>
      <c r="J429" s="100"/>
      <c r="K429" s="101"/>
      <c r="M429" s="99"/>
      <c r="N429" s="100"/>
      <c r="O429" s="102"/>
      <c r="Q429" s="103"/>
      <c r="R429" s="100"/>
      <c r="S429" s="102"/>
      <c r="U429" s="100"/>
      <c r="V429" s="100"/>
      <c r="X429" s="104"/>
      <c r="Z429" s="100"/>
    </row>
    <row r="430" spans="4:26" ht="14.25" customHeight="1" x14ac:dyDescent="0.25">
      <c r="D430" s="116"/>
      <c r="G430" s="111"/>
      <c r="H430" s="98"/>
      <c r="I430" s="99"/>
      <c r="J430" s="100"/>
      <c r="K430" s="101"/>
      <c r="M430" s="99"/>
      <c r="N430" s="100"/>
      <c r="O430" s="102"/>
      <c r="Q430" s="103"/>
      <c r="R430" s="100"/>
      <c r="S430" s="102"/>
      <c r="U430" s="100"/>
      <c r="V430" s="100"/>
      <c r="X430" s="104"/>
      <c r="Z430" s="100"/>
    </row>
    <row r="431" spans="4:26" ht="14.25" customHeight="1" x14ac:dyDescent="0.25">
      <c r="D431" s="116"/>
      <c r="G431" s="111"/>
      <c r="H431" s="98"/>
      <c r="I431" s="99"/>
      <c r="J431" s="100"/>
      <c r="K431" s="101"/>
      <c r="M431" s="99"/>
      <c r="N431" s="100"/>
      <c r="O431" s="102"/>
      <c r="Q431" s="103"/>
      <c r="R431" s="100"/>
      <c r="S431" s="102"/>
      <c r="U431" s="100"/>
      <c r="V431" s="100"/>
      <c r="X431" s="104"/>
      <c r="Z431" s="100"/>
    </row>
    <row r="432" spans="4:26" ht="14.25" customHeight="1" x14ac:dyDescent="0.25">
      <c r="D432" s="116"/>
      <c r="G432" s="111"/>
      <c r="H432" s="98"/>
      <c r="I432" s="99"/>
      <c r="J432" s="100"/>
      <c r="K432" s="101"/>
      <c r="M432" s="99"/>
      <c r="N432" s="100"/>
      <c r="O432" s="102"/>
      <c r="Q432" s="103"/>
      <c r="R432" s="100"/>
      <c r="S432" s="102"/>
      <c r="U432" s="100"/>
      <c r="V432" s="100"/>
      <c r="X432" s="104"/>
      <c r="Z432" s="100"/>
    </row>
    <row r="433" spans="4:26" ht="14.25" customHeight="1" x14ac:dyDescent="0.25">
      <c r="D433" s="116"/>
      <c r="G433" s="111"/>
      <c r="H433" s="98"/>
      <c r="I433" s="99"/>
      <c r="J433" s="100"/>
      <c r="K433" s="101"/>
      <c r="M433" s="99"/>
      <c r="N433" s="100"/>
      <c r="O433" s="102"/>
      <c r="Q433" s="103"/>
      <c r="R433" s="100"/>
      <c r="S433" s="102"/>
      <c r="U433" s="100"/>
      <c r="V433" s="100"/>
      <c r="X433" s="104"/>
      <c r="Z433" s="100"/>
    </row>
    <row r="434" spans="4:26" ht="14.25" customHeight="1" x14ac:dyDescent="0.25">
      <c r="D434" s="116"/>
      <c r="G434" s="111"/>
      <c r="H434" s="98"/>
      <c r="I434" s="99"/>
      <c r="J434" s="100"/>
      <c r="K434" s="101"/>
      <c r="M434" s="99"/>
      <c r="N434" s="100"/>
      <c r="O434" s="102"/>
      <c r="Q434" s="103"/>
      <c r="R434" s="100"/>
      <c r="S434" s="102"/>
      <c r="U434" s="100"/>
      <c r="V434" s="100"/>
      <c r="X434" s="104"/>
      <c r="Z434" s="100"/>
    </row>
    <row r="435" spans="4:26" ht="14.25" customHeight="1" x14ac:dyDescent="0.25">
      <c r="D435" s="116"/>
      <c r="G435" s="111"/>
      <c r="H435" s="98"/>
      <c r="I435" s="99"/>
      <c r="J435" s="100"/>
      <c r="K435" s="101"/>
      <c r="M435" s="99"/>
      <c r="N435" s="100"/>
      <c r="O435" s="102"/>
      <c r="Q435" s="103"/>
      <c r="R435" s="100"/>
      <c r="S435" s="102"/>
      <c r="U435" s="100"/>
      <c r="V435" s="100"/>
      <c r="X435" s="104"/>
      <c r="Z435" s="100"/>
    </row>
    <row r="436" spans="4:26" ht="14.25" customHeight="1" x14ac:dyDescent="0.25">
      <c r="D436" s="116"/>
      <c r="G436" s="111"/>
      <c r="H436" s="98"/>
      <c r="I436" s="99"/>
      <c r="J436" s="100"/>
      <c r="K436" s="101"/>
      <c r="M436" s="99"/>
      <c r="N436" s="100"/>
      <c r="O436" s="102"/>
      <c r="Q436" s="103"/>
      <c r="R436" s="100"/>
      <c r="S436" s="102"/>
      <c r="U436" s="100"/>
      <c r="V436" s="100"/>
      <c r="X436" s="104"/>
      <c r="Z436" s="100"/>
    </row>
    <row r="437" spans="4:26" ht="14.25" customHeight="1" x14ac:dyDescent="0.25">
      <c r="D437" s="116"/>
      <c r="G437" s="111"/>
      <c r="H437" s="98"/>
      <c r="I437" s="99"/>
      <c r="J437" s="100"/>
      <c r="K437" s="101"/>
      <c r="M437" s="99"/>
      <c r="N437" s="100"/>
      <c r="O437" s="102"/>
      <c r="Q437" s="103"/>
      <c r="R437" s="100"/>
      <c r="S437" s="102"/>
      <c r="U437" s="100"/>
      <c r="V437" s="100"/>
      <c r="X437" s="104"/>
      <c r="Z437" s="100"/>
    </row>
    <row r="438" spans="4:26" ht="14.25" customHeight="1" x14ac:dyDescent="0.25">
      <c r="D438" s="116"/>
      <c r="G438" s="111"/>
      <c r="H438" s="98"/>
      <c r="I438" s="99"/>
      <c r="J438" s="100"/>
      <c r="K438" s="101"/>
      <c r="M438" s="99"/>
      <c r="N438" s="100"/>
      <c r="O438" s="102"/>
      <c r="Q438" s="103"/>
      <c r="R438" s="100"/>
      <c r="S438" s="102"/>
      <c r="U438" s="100"/>
      <c r="V438" s="100"/>
      <c r="X438" s="104"/>
      <c r="Z438" s="100"/>
    </row>
    <row r="439" spans="4:26" ht="14.25" customHeight="1" x14ac:dyDescent="0.25">
      <c r="D439" s="116"/>
      <c r="G439" s="111"/>
      <c r="H439" s="98"/>
      <c r="I439" s="99"/>
      <c r="J439" s="100"/>
      <c r="K439" s="101"/>
      <c r="M439" s="99"/>
      <c r="N439" s="100"/>
      <c r="O439" s="102"/>
      <c r="Q439" s="103"/>
      <c r="R439" s="100"/>
      <c r="S439" s="102"/>
      <c r="U439" s="100"/>
      <c r="V439" s="100"/>
      <c r="X439" s="104"/>
      <c r="Z439" s="100"/>
    </row>
    <row r="440" spans="4:26" ht="14.25" customHeight="1" x14ac:dyDescent="0.25">
      <c r="D440" s="116"/>
      <c r="G440" s="111"/>
      <c r="H440" s="98"/>
      <c r="I440" s="99"/>
      <c r="J440" s="100"/>
      <c r="K440" s="101"/>
      <c r="M440" s="99"/>
      <c r="N440" s="100"/>
      <c r="O440" s="102"/>
      <c r="Q440" s="103"/>
      <c r="R440" s="100"/>
      <c r="S440" s="102"/>
      <c r="U440" s="100"/>
      <c r="V440" s="100"/>
      <c r="X440" s="104"/>
      <c r="Z440" s="100"/>
    </row>
    <row r="441" spans="4:26" ht="14.25" customHeight="1" x14ac:dyDescent="0.25">
      <c r="D441" s="116"/>
      <c r="G441" s="111"/>
      <c r="H441" s="98"/>
      <c r="I441" s="99"/>
      <c r="J441" s="100"/>
      <c r="K441" s="101"/>
      <c r="M441" s="99"/>
      <c r="N441" s="100"/>
      <c r="O441" s="102"/>
      <c r="Q441" s="103"/>
      <c r="R441" s="100"/>
      <c r="S441" s="102"/>
      <c r="U441" s="100"/>
      <c r="V441" s="100"/>
      <c r="X441" s="104"/>
      <c r="Z441" s="100"/>
    </row>
    <row r="442" spans="4:26" ht="14.25" customHeight="1" x14ac:dyDescent="0.25">
      <c r="D442" s="116"/>
      <c r="G442" s="111"/>
      <c r="H442" s="98"/>
      <c r="I442" s="99"/>
      <c r="J442" s="100"/>
      <c r="K442" s="101"/>
      <c r="M442" s="99"/>
      <c r="N442" s="100"/>
      <c r="O442" s="102"/>
      <c r="Q442" s="103"/>
      <c r="R442" s="100"/>
      <c r="S442" s="102"/>
      <c r="U442" s="100"/>
      <c r="V442" s="100"/>
      <c r="X442" s="104"/>
      <c r="Z442" s="100"/>
    </row>
    <row r="443" spans="4:26" ht="14.25" customHeight="1" x14ac:dyDescent="0.25">
      <c r="D443" s="116"/>
      <c r="G443" s="111"/>
      <c r="H443" s="98"/>
      <c r="I443" s="99"/>
      <c r="J443" s="100"/>
      <c r="K443" s="101"/>
      <c r="M443" s="99"/>
      <c r="N443" s="100"/>
      <c r="O443" s="102"/>
      <c r="Q443" s="103"/>
      <c r="R443" s="100"/>
      <c r="S443" s="102"/>
      <c r="U443" s="100"/>
      <c r="V443" s="100"/>
      <c r="X443" s="104"/>
      <c r="Z443" s="100"/>
    </row>
    <row r="444" spans="4:26" ht="14.25" customHeight="1" x14ac:dyDescent="0.25">
      <c r="D444" s="116"/>
      <c r="G444" s="111"/>
      <c r="H444" s="98"/>
      <c r="I444" s="99"/>
      <c r="J444" s="100"/>
      <c r="K444" s="101"/>
      <c r="M444" s="99"/>
      <c r="N444" s="100"/>
      <c r="O444" s="102"/>
      <c r="Q444" s="103"/>
      <c r="R444" s="100"/>
      <c r="S444" s="102"/>
      <c r="U444" s="100"/>
      <c r="V444" s="100"/>
      <c r="X444" s="104"/>
      <c r="Z444" s="100"/>
    </row>
    <row r="445" spans="4:26" ht="14.25" customHeight="1" x14ac:dyDescent="0.25">
      <c r="D445" s="116"/>
      <c r="G445" s="111"/>
      <c r="H445" s="98"/>
      <c r="I445" s="99"/>
      <c r="J445" s="100"/>
      <c r="K445" s="101"/>
      <c r="M445" s="99"/>
      <c r="N445" s="100"/>
      <c r="O445" s="102"/>
      <c r="Q445" s="103"/>
      <c r="R445" s="100"/>
      <c r="S445" s="102"/>
      <c r="U445" s="100"/>
      <c r="V445" s="100"/>
      <c r="X445" s="104"/>
      <c r="Z445" s="100"/>
    </row>
    <row r="446" spans="4:26" ht="14.25" customHeight="1" x14ac:dyDescent="0.25">
      <c r="D446" s="116"/>
      <c r="G446" s="111"/>
      <c r="H446" s="98"/>
      <c r="I446" s="99"/>
      <c r="J446" s="100"/>
      <c r="K446" s="101"/>
      <c r="M446" s="99"/>
      <c r="N446" s="100"/>
      <c r="O446" s="102"/>
      <c r="Q446" s="103"/>
      <c r="R446" s="100"/>
      <c r="S446" s="102"/>
      <c r="U446" s="100"/>
      <c r="V446" s="100"/>
      <c r="X446" s="104"/>
      <c r="Z446" s="100"/>
    </row>
    <row r="447" spans="4:26" ht="14.25" customHeight="1" x14ac:dyDescent="0.25">
      <c r="D447" s="116"/>
      <c r="G447" s="111"/>
      <c r="H447" s="98"/>
      <c r="I447" s="99"/>
      <c r="J447" s="100"/>
      <c r="K447" s="101"/>
      <c r="M447" s="99"/>
      <c r="N447" s="100"/>
      <c r="O447" s="102"/>
      <c r="Q447" s="103"/>
      <c r="R447" s="100"/>
      <c r="S447" s="102"/>
      <c r="U447" s="100"/>
      <c r="V447" s="100"/>
      <c r="X447" s="104"/>
      <c r="Z447" s="100"/>
    </row>
    <row r="448" spans="4:26" ht="14.25" customHeight="1" x14ac:dyDescent="0.25">
      <c r="D448" s="116"/>
      <c r="G448" s="111"/>
      <c r="H448" s="98"/>
      <c r="I448" s="99"/>
      <c r="J448" s="100"/>
      <c r="K448" s="101"/>
      <c r="M448" s="99"/>
      <c r="N448" s="100"/>
      <c r="O448" s="102"/>
      <c r="Q448" s="103"/>
      <c r="R448" s="100"/>
      <c r="S448" s="102"/>
      <c r="U448" s="100"/>
      <c r="V448" s="100"/>
      <c r="X448" s="104"/>
      <c r="Z448" s="100"/>
    </row>
    <row r="449" spans="4:26" ht="14.25" customHeight="1" x14ac:dyDescent="0.25">
      <c r="D449" s="116"/>
      <c r="G449" s="111"/>
      <c r="H449" s="98"/>
      <c r="I449" s="99"/>
      <c r="J449" s="100"/>
      <c r="K449" s="101"/>
      <c r="M449" s="99"/>
      <c r="N449" s="100"/>
      <c r="O449" s="102"/>
      <c r="Q449" s="103"/>
      <c r="R449" s="100"/>
      <c r="S449" s="102"/>
      <c r="U449" s="100"/>
      <c r="V449" s="100"/>
      <c r="X449" s="104"/>
      <c r="Z449" s="100"/>
    </row>
    <row r="450" spans="4:26" ht="14.25" customHeight="1" x14ac:dyDescent="0.25">
      <c r="D450" s="116"/>
      <c r="G450" s="111"/>
      <c r="H450" s="98"/>
      <c r="I450" s="99"/>
      <c r="J450" s="100"/>
      <c r="K450" s="101"/>
      <c r="M450" s="99"/>
      <c r="N450" s="100"/>
      <c r="O450" s="102"/>
      <c r="Q450" s="103"/>
      <c r="R450" s="100"/>
      <c r="S450" s="102"/>
      <c r="U450" s="100"/>
      <c r="V450" s="100"/>
      <c r="X450" s="104"/>
      <c r="Z450" s="100"/>
    </row>
    <row r="451" spans="4:26" ht="14.25" customHeight="1" x14ac:dyDescent="0.25">
      <c r="D451" s="116"/>
      <c r="G451" s="111"/>
      <c r="H451" s="98"/>
      <c r="I451" s="99"/>
      <c r="J451" s="100"/>
      <c r="K451" s="101"/>
      <c r="M451" s="99"/>
      <c r="N451" s="100"/>
      <c r="O451" s="102"/>
      <c r="Q451" s="103"/>
      <c r="R451" s="100"/>
      <c r="S451" s="102"/>
      <c r="U451" s="100"/>
      <c r="V451" s="100"/>
      <c r="X451" s="104"/>
      <c r="Z451" s="100"/>
    </row>
    <row r="452" spans="4:26" ht="14.25" customHeight="1" x14ac:dyDescent="0.25">
      <c r="D452" s="116"/>
      <c r="G452" s="111"/>
      <c r="H452" s="98"/>
      <c r="I452" s="99"/>
      <c r="J452" s="100"/>
      <c r="K452" s="101"/>
      <c r="M452" s="99"/>
      <c r="N452" s="100"/>
      <c r="O452" s="102"/>
      <c r="Q452" s="103"/>
      <c r="R452" s="100"/>
      <c r="S452" s="102"/>
      <c r="U452" s="100"/>
      <c r="V452" s="100"/>
      <c r="X452" s="104"/>
      <c r="Z452" s="100"/>
    </row>
    <row r="453" spans="4:26" ht="14.25" customHeight="1" x14ac:dyDescent="0.25">
      <c r="D453" s="116"/>
      <c r="G453" s="111"/>
      <c r="H453" s="98"/>
      <c r="I453" s="99"/>
      <c r="J453" s="100"/>
      <c r="K453" s="101"/>
      <c r="M453" s="99"/>
      <c r="N453" s="100"/>
      <c r="O453" s="102"/>
      <c r="Q453" s="103"/>
      <c r="R453" s="100"/>
      <c r="S453" s="102"/>
      <c r="U453" s="100"/>
      <c r="V453" s="100"/>
      <c r="X453" s="104"/>
      <c r="Z453" s="100"/>
    </row>
    <row r="454" spans="4:26" ht="14.25" customHeight="1" x14ac:dyDescent="0.25">
      <c r="D454" s="116"/>
      <c r="G454" s="111"/>
      <c r="H454" s="98"/>
      <c r="I454" s="99"/>
      <c r="J454" s="100"/>
      <c r="K454" s="101"/>
      <c r="M454" s="99"/>
      <c r="N454" s="100"/>
      <c r="O454" s="102"/>
      <c r="Q454" s="103"/>
      <c r="R454" s="100"/>
      <c r="S454" s="102"/>
      <c r="U454" s="100"/>
      <c r="V454" s="100"/>
      <c r="X454" s="104"/>
      <c r="Z454" s="100"/>
    </row>
    <row r="455" spans="4:26" ht="14.25" customHeight="1" x14ac:dyDescent="0.25">
      <c r="D455" s="116"/>
      <c r="G455" s="111"/>
      <c r="H455" s="98"/>
      <c r="I455" s="99"/>
      <c r="J455" s="100"/>
      <c r="K455" s="101"/>
      <c r="M455" s="99"/>
      <c r="N455" s="100"/>
      <c r="O455" s="102"/>
      <c r="Q455" s="103"/>
      <c r="R455" s="100"/>
      <c r="S455" s="102"/>
      <c r="U455" s="100"/>
      <c r="V455" s="100"/>
      <c r="X455" s="104"/>
      <c r="Z455" s="100"/>
    </row>
    <row r="456" spans="4:26" ht="14.25" customHeight="1" x14ac:dyDescent="0.25">
      <c r="D456" s="116"/>
      <c r="G456" s="111"/>
      <c r="H456" s="98"/>
      <c r="I456" s="99"/>
      <c r="J456" s="100"/>
      <c r="K456" s="101"/>
      <c r="M456" s="99"/>
      <c r="N456" s="100"/>
      <c r="O456" s="102"/>
      <c r="Q456" s="103"/>
      <c r="R456" s="100"/>
      <c r="S456" s="102"/>
      <c r="U456" s="100"/>
      <c r="V456" s="100"/>
      <c r="X456" s="104"/>
      <c r="Z456" s="100"/>
    </row>
    <row r="457" spans="4:26" ht="14.25" customHeight="1" x14ac:dyDescent="0.25">
      <c r="D457" s="116"/>
      <c r="G457" s="111"/>
      <c r="H457" s="98"/>
      <c r="I457" s="99"/>
      <c r="J457" s="100"/>
      <c r="K457" s="101"/>
      <c r="M457" s="99"/>
      <c r="N457" s="100"/>
      <c r="O457" s="102"/>
      <c r="Q457" s="103"/>
      <c r="R457" s="100"/>
      <c r="S457" s="102"/>
      <c r="U457" s="100"/>
      <c r="V457" s="100"/>
      <c r="X457" s="104"/>
      <c r="Z457" s="100"/>
    </row>
    <row r="458" spans="4:26" ht="14.25" customHeight="1" x14ac:dyDescent="0.25">
      <c r="D458" s="116"/>
      <c r="G458" s="111"/>
      <c r="H458" s="98"/>
      <c r="I458" s="99"/>
      <c r="J458" s="100"/>
      <c r="K458" s="101"/>
      <c r="M458" s="99"/>
      <c r="N458" s="100"/>
      <c r="O458" s="102"/>
      <c r="Q458" s="103"/>
      <c r="R458" s="100"/>
      <c r="S458" s="102"/>
      <c r="U458" s="100"/>
      <c r="V458" s="100"/>
      <c r="X458" s="104"/>
      <c r="Z458" s="100"/>
    </row>
    <row r="459" spans="4:26" ht="14.25" customHeight="1" x14ac:dyDescent="0.25">
      <c r="D459" s="116"/>
      <c r="G459" s="111"/>
      <c r="H459" s="98"/>
      <c r="I459" s="99"/>
      <c r="J459" s="100"/>
      <c r="K459" s="101"/>
      <c r="M459" s="99"/>
      <c r="N459" s="100"/>
      <c r="O459" s="102"/>
      <c r="Q459" s="103"/>
      <c r="R459" s="100"/>
      <c r="S459" s="102"/>
      <c r="U459" s="100"/>
      <c r="V459" s="100"/>
      <c r="X459" s="104"/>
      <c r="Z459" s="100"/>
    </row>
    <row r="460" spans="4:26" ht="14.25" customHeight="1" x14ac:dyDescent="0.25">
      <c r="D460" s="116"/>
      <c r="G460" s="111"/>
      <c r="H460" s="98"/>
      <c r="I460" s="99"/>
      <c r="J460" s="100"/>
      <c r="K460" s="101"/>
      <c r="M460" s="99"/>
      <c r="N460" s="100"/>
      <c r="O460" s="102"/>
      <c r="Q460" s="103"/>
      <c r="R460" s="100"/>
      <c r="S460" s="102"/>
      <c r="U460" s="100"/>
      <c r="V460" s="100"/>
      <c r="X460" s="104"/>
      <c r="Z460" s="100"/>
    </row>
    <row r="461" spans="4:26" ht="14.25" customHeight="1" x14ac:dyDescent="0.25">
      <c r="D461" s="116"/>
      <c r="G461" s="111"/>
      <c r="H461" s="98"/>
      <c r="I461" s="99"/>
      <c r="J461" s="100"/>
      <c r="K461" s="101"/>
      <c r="M461" s="99"/>
      <c r="N461" s="100"/>
      <c r="O461" s="102"/>
      <c r="Q461" s="103"/>
      <c r="R461" s="100"/>
      <c r="S461" s="102"/>
      <c r="U461" s="100"/>
      <c r="V461" s="100"/>
      <c r="X461" s="104"/>
      <c r="Z461" s="100"/>
    </row>
    <row r="462" spans="4:26" ht="14.25" customHeight="1" x14ac:dyDescent="0.25">
      <c r="D462" s="116"/>
      <c r="G462" s="111"/>
      <c r="H462" s="98"/>
      <c r="I462" s="99"/>
      <c r="J462" s="100"/>
      <c r="K462" s="101"/>
      <c r="M462" s="99"/>
      <c r="N462" s="100"/>
      <c r="O462" s="102"/>
      <c r="Q462" s="103"/>
      <c r="R462" s="100"/>
      <c r="S462" s="102"/>
      <c r="U462" s="100"/>
      <c r="V462" s="100"/>
      <c r="X462" s="104"/>
      <c r="Z462" s="100"/>
    </row>
    <row r="463" spans="4:26" ht="14.25" customHeight="1" x14ac:dyDescent="0.25">
      <c r="D463" s="116"/>
      <c r="G463" s="111"/>
      <c r="H463" s="98"/>
      <c r="I463" s="99"/>
      <c r="J463" s="100"/>
      <c r="K463" s="101"/>
      <c r="M463" s="99"/>
      <c r="N463" s="100"/>
      <c r="O463" s="102"/>
      <c r="Q463" s="103"/>
      <c r="R463" s="100"/>
      <c r="S463" s="102"/>
      <c r="U463" s="100"/>
      <c r="V463" s="100"/>
      <c r="X463" s="104"/>
      <c r="Z463" s="100"/>
    </row>
    <row r="464" spans="4:26" ht="14.25" customHeight="1" x14ac:dyDescent="0.25">
      <c r="D464" s="116"/>
      <c r="G464" s="111"/>
      <c r="H464" s="98"/>
      <c r="I464" s="99"/>
      <c r="J464" s="100"/>
      <c r="K464" s="101"/>
      <c r="M464" s="99"/>
      <c r="N464" s="100"/>
      <c r="O464" s="102"/>
      <c r="Q464" s="103"/>
      <c r="R464" s="100"/>
      <c r="S464" s="102"/>
      <c r="U464" s="100"/>
      <c r="V464" s="100"/>
      <c r="X464" s="104"/>
      <c r="Z464" s="100"/>
    </row>
    <row r="465" spans="4:26" ht="14.25" customHeight="1" x14ac:dyDescent="0.25">
      <c r="D465" s="116"/>
      <c r="G465" s="111"/>
      <c r="H465" s="98"/>
      <c r="I465" s="99"/>
      <c r="J465" s="100"/>
      <c r="K465" s="101"/>
      <c r="M465" s="99"/>
      <c r="N465" s="100"/>
      <c r="O465" s="102"/>
      <c r="Q465" s="103"/>
      <c r="R465" s="100"/>
      <c r="S465" s="102"/>
      <c r="U465" s="100"/>
      <c r="V465" s="100"/>
      <c r="X465" s="104"/>
      <c r="Z465" s="100"/>
    </row>
    <row r="466" spans="4:26" ht="14.25" customHeight="1" x14ac:dyDescent="0.25">
      <c r="D466" s="116"/>
      <c r="G466" s="111"/>
      <c r="H466" s="98"/>
      <c r="I466" s="99"/>
      <c r="J466" s="100"/>
      <c r="K466" s="101"/>
      <c r="M466" s="99"/>
      <c r="N466" s="100"/>
      <c r="O466" s="102"/>
      <c r="Q466" s="103"/>
      <c r="R466" s="100"/>
      <c r="S466" s="102"/>
      <c r="U466" s="100"/>
      <c r="V466" s="100"/>
      <c r="X466" s="104"/>
      <c r="Z466" s="100"/>
    </row>
    <row r="467" spans="4:26" ht="14.25" customHeight="1" x14ac:dyDescent="0.25">
      <c r="D467" s="116"/>
      <c r="G467" s="111"/>
      <c r="H467" s="98"/>
      <c r="I467" s="99"/>
      <c r="J467" s="100"/>
      <c r="K467" s="101"/>
      <c r="M467" s="99"/>
      <c r="N467" s="100"/>
      <c r="O467" s="102"/>
      <c r="Q467" s="103"/>
      <c r="R467" s="100"/>
      <c r="S467" s="102"/>
      <c r="U467" s="100"/>
      <c r="V467" s="100"/>
      <c r="X467" s="104"/>
      <c r="Z467" s="100"/>
    </row>
    <row r="468" spans="4:26" ht="14.25" customHeight="1" x14ac:dyDescent="0.25">
      <c r="D468" s="116"/>
      <c r="G468" s="111"/>
      <c r="H468" s="98"/>
      <c r="I468" s="99"/>
      <c r="J468" s="100"/>
      <c r="K468" s="101"/>
      <c r="M468" s="99"/>
      <c r="N468" s="100"/>
      <c r="O468" s="102"/>
      <c r="Q468" s="103"/>
      <c r="R468" s="100"/>
      <c r="S468" s="102"/>
      <c r="U468" s="100"/>
      <c r="V468" s="100"/>
      <c r="X468" s="104"/>
      <c r="Z468" s="100"/>
    </row>
    <row r="469" spans="4:26" ht="14.25" customHeight="1" x14ac:dyDescent="0.25">
      <c r="D469" s="116"/>
      <c r="G469" s="111"/>
      <c r="H469" s="98"/>
      <c r="I469" s="99"/>
      <c r="J469" s="100"/>
      <c r="K469" s="101"/>
      <c r="M469" s="99"/>
      <c r="N469" s="100"/>
      <c r="O469" s="102"/>
      <c r="Q469" s="103"/>
      <c r="R469" s="100"/>
      <c r="S469" s="102"/>
      <c r="U469" s="100"/>
      <c r="V469" s="100"/>
      <c r="X469" s="104"/>
      <c r="Z469" s="100"/>
    </row>
    <row r="470" spans="4:26" ht="14.25" customHeight="1" x14ac:dyDescent="0.25">
      <c r="D470" s="116"/>
      <c r="G470" s="111"/>
      <c r="H470" s="98"/>
      <c r="I470" s="99"/>
      <c r="J470" s="100"/>
      <c r="K470" s="101"/>
      <c r="M470" s="99"/>
      <c r="N470" s="100"/>
      <c r="O470" s="102"/>
      <c r="Q470" s="103"/>
      <c r="R470" s="100"/>
      <c r="S470" s="102"/>
      <c r="U470" s="100"/>
      <c r="V470" s="100"/>
      <c r="X470" s="104"/>
      <c r="Z470" s="100"/>
    </row>
    <row r="471" spans="4:26" ht="14.25" customHeight="1" x14ac:dyDescent="0.25">
      <c r="D471" s="116"/>
      <c r="G471" s="111"/>
      <c r="H471" s="98"/>
      <c r="I471" s="99"/>
      <c r="J471" s="100"/>
      <c r="K471" s="101"/>
      <c r="M471" s="99"/>
      <c r="N471" s="100"/>
      <c r="O471" s="102"/>
      <c r="Q471" s="103"/>
      <c r="R471" s="100"/>
      <c r="S471" s="102"/>
      <c r="U471" s="100"/>
      <c r="V471" s="100"/>
      <c r="X471" s="104"/>
      <c r="Z471" s="100"/>
    </row>
    <row r="472" spans="4:26" ht="14.25" customHeight="1" x14ac:dyDescent="0.25">
      <c r="D472" s="116"/>
      <c r="G472" s="111"/>
      <c r="H472" s="98"/>
      <c r="I472" s="99"/>
      <c r="J472" s="100"/>
      <c r="K472" s="101"/>
      <c r="M472" s="99"/>
      <c r="N472" s="100"/>
      <c r="O472" s="102"/>
      <c r="Q472" s="103"/>
      <c r="R472" s="100"/>
      <c r="S472" s="102"/>
      <c r="U472" s="100"/>
      <c r="V472" s="100"/>
      <c r="X472" s="104"/>
      <c r="Z472" s="100"/>
    </row>
    <row r="473" spans="4:26" ht="14.25" customHeight="1" x14ac:dyDescent="0.25">
      <c r="D473" s="116"/>
      <c r="G473" s="111"/>
      <c r="H473" s="98"/>
      <c r="I473" s="99"/>
      <c r="J473" s="100"/>
      <c r="K473" s="101"/>
      <c r="M473" s="99"/>
      <c r="N473" s="100"/>
      <c r="O473" s="102"/>
      <c r="Q473" s="103"/>
      <c r="R473" s="100"/>
      <c r="S473" s="102"/>
      <c r="U473" s="100"/>
      <c r="V473" s="100"/>
      <c r="X473" s="104"/>
      <c r="Z473" s="100"/>
    </row>
    <row r="474" spans="4:26" ht="14.25" customHeight="1" x14ac:dyDescent="0.25">
      <c r="D474" s="116"/>
      <c r="G474" s="111"/>
      <c r="H474" s="98"/>
      <c r="I474" s="99"/>
      <c r="J474" s="100"/>
      <c r="K474" s="101"/>
      <c r="M474" s="99"/>
      <c r="N474" s="100"/>
      <c r="O474" s="102"/>
      <c r="Q474" s="103"/>
      <c r="R474" s="100"/>
      <c r="S474" s="102"/>
      <c r="U474" s="100"/>
      <c r="V474" s="100"/>
      <c r="X474" s="104"/>
      <c r="Z474" s="100"/>
    </row>
    <row r="475" spans="4:26" ht="14.25" customHeight="1" x14ac:dyDescent="0.25">
      <c r="D475" s="116"/>
      <c r="G475" s="111"/>
      <c r="H475" s="98"/>
      <c r="I475" s="99"/>
      <c r="J475" s="100"/>
      <c r="K475" s="101"/>
      <c r="M475" s="99"/>
      <c r="N475" s="100"/>
      <c r="O475" s="102"/>
      <c r="Q475" s="103"/>
      <c r="R475" s="100"/>
      <c r="S475" s="102"/>
      <c r="U475" s="100"/>
      <c r="V475" s="100"/>
      <c r="X475" s="104"/>
      <c r="Z475" s="100"/>
    </row>
    <row r="476" spans="4:26" ht="14.25" customHeight="1" x14ac:dyDescent="0.25">
      <c r="D476" s="116"/>
      <c r="G476" s="111"/>
      <c r="H476" s="98"/>
      <c r="I476" s="99"/>
      <c r="J476" s="100"/>
      <c r="K476" s="101"/>
      <c r="M476" s="99"/>
      <c r="N476" s="100"/>
      <c r="O476" s="102"/>
      <c r="Q476" s="103"/>
      <c r="R476" s="100"/>
      <c r="S476" s="102"/>
      <c r="U476" s="100"/>
      <c r="V476" s="100"/>
      <c r="X476" s="104"/>
      <c r="Z476" s="100"/>
    </row>
    <row r="477" spans="4:26" ht="14.25" customHeight="1" x14ac:dyDescent="0.25">
      <c r="D477" s="116"/>
      <c r="G477" s="111"/>
      <c r="H477" s="98"/>
      <c r="I477" s="99"/>
      <c r="J477" s="100"/>
      <c r="K477" s="101"/>
      <c r="M477" s="99"/>
      <c r="N477" s="100"/>
      <c r="O477" s="102"/>
      <c r="Q477" s="103"/>
      <c r="R477" s="100"/>
      <c r="S477" s="102"/>
      <c r="U477" s="100"/>
      <c r="V477" s="100"/>
      <c r="X477" s="104"/>
      <c r="Z477" s="100"/>
    </row>
    <row r="478" spans="4:26" ht="14.25" customHeight="1" x14ac:dyDescent="0.25">
      <c r="D478" s="116"/>
      <c r="G478" s="111"/>
      <c r="H478" s="98"/>
      <c r="I478" s="99"/>
      <c r="J478" s="100"/>
      <c r="K478" s="101"/>
      <c r="M478" s="99"/>
      <c r="N478" s="100"/>
      <c r="O478" s="102"/>
      <c r="Q478" s="103"/>
      <c r="R478" s="100"/>
      <c r="S478" s="102"/>
      <c r="U478" s="100"/>
      <c r="V478" s="100"/>
      <c r="X478" s="104"/>
      <c r="Z478" s="100"/>
    </row>
    <row r="479" spans="4:26" ht="14.25" customHeight="1" x14ac:dyDescent="0.25">
      <c r="D479" s="116"/>
      <c r="G479" s="111"/>
      <c r="H479" s="98"/>
      <c r="I479" s="99"/>
      <c r="J479" s="100"/>
      <c r="K479" s="101"/>
      <c r="M479" s="99"/>
      <c r="N479" s="100"/>
      <c r="O479" s="102"/>
      <c r="Q479" s="103"/>
      <c r="R479" s="100"/>
      <c r="S479" s="102"/>
      <c r="U479" s="100"/>
      <c r="V479" s="100"/>
      <c r="X479" s="104"/>
      <c r="Z479" s="100"/>
    </row>
    <row r="480" spans="4:26" ht="14.25" customHeight="1" x14ac:dyDescent="0.25">
      <c r="D480" s="116"/>
      <c r="G480" s="111"/>
      <c r="H480" s="98"/>
      <c r="I480" s="99"/>
      <c r="J480" s="100"/>
      <c r="K480" s="101"/>
      <c r="M480" s="99"/>
      <c r="N480" s="100"/>
      <c r="O480" s="102"/>
      <c r="Q480" s="103"/>
      <c r="R480" s="100"/>
      <c r="S480" s="102"/>
      <c r="U480" s="100"/>
      <c r="V480" s="100"/>
      <c r="X480" s="104"/>
      <c r="Z480" s="100"/>
    </row>
    <row r="481" spans="4:26" ht="14.25" customHeight="1" x14ac:dyDescent="0.25">
      <c r="D481" s="116"/>
      <c r="G481" s="111"/>
      <c r="H481" s="98"/>
      <c r="I481" s="99"/>
      <c r="J481" s="100"/>
      <c r="K481" s="101"/>
      <c r="M481" s="99"/>
      <c r="N481" s="100"/>
      <c r="O481" s="102"/>
      <c r="Q481" s="103"/>
      <c r="R481" s="100"/>
      <c r="S481" s="102"/>
      <c r="U481" s="100"/>
      <c r="V481" s="100"/>
      <c r="X481" s="104"/>
      <c r="Z481" s="100"/>
    </row>
    <row r="482" spans="4:26" ht="14.25" customHeight="1" x14ac:dyDescent="0.25">
      <c r="D482" s="116"/>
      <c r="G482" s="111"/>
      <c r="H482" s="98"/>
      <c r="I482" s="99"/>
      <c r="J482" s="100"/>
      <c r="K482" s="101"/>
      <c r="M482" s="99"/>
      <c r="N482" s="100"/>
      <c r="O482" s="102"/>
      <c r="Q482" s="103"/>
      <c r="R482" s="100"/>
      <c r="S482" s="102"/>
      <c r="U482" s="100"/>
      <c r="V482" s="100"/>
      <c r="X482" s="104"/>
      <c r="Z482" s="100"/>
    </row>
    <row r="483" spans="4:26" ht="14.25" customHeight="1" x14ac:dyDescent="0.25">
      <c r="D483" s="116"/>
      <c r="G483" s="111"/>
      <c r="H483" s="98"/>
      <c r="I483" s="99"/>
      <c r="J483" s="100"/>
      <c r="K483" s="101"/>
      <c r="M483" s="99"/>
      <c r="N483" s="100"/>
      <c r="O483" s="102"/>
      <c r="Q483" s="103"/>
      <c r="R483" s="100"/>
      <c r="S483" s="102"/>
      <c r="U483" s="100"/>
      <c r="V483" s="100"/>
      <c r="X483" s="104"/>
      <c r="Z483" s="100"/>
    </row>
    <row r="484" spans="4:26" ht="14.25" customHeight="1" x14ac:dyDescent="0.25">
      <c r="D484" s="116"/>
      <c r="G484" s="111"/>
      <c r="H484" s="98"/>
      <c r="I484" s="99"/>
      <c r="J484" s="100"/>
      <c r="K484" s="101"/>
      <c r="M484" s="99"/>
      <c r="N484" s="100"/>
      <c r="O484" s="102"/>
      <c r="Q484" s="103"/>
      <c r="R484" s="100"/>
      <c r="S484" s="102"/>
      <c r="U484" s="100"/>
      <c r="V484" s="100"/>
      <c r="X484" s="104"/>
      <c r="Z484" s="100"/>
    </row>
    <row r="485" spans="4:26" ht="14.25" customHeight="1" x14ac:dyDescent="0.25">
      <c r="D485" s="116"/>
      <c r="G485" s="111"/>
      <c r="H485" s="98"/>
      <c r="I485" s="99"/>
      <c r="J485" s="100"/>
      <c r="K485" s="101"/>
      <c r="M485" s="99"/>
      <c r="N485" s="100"/>
      <c r="O485" s="102"/>
      <c r="Q485" s="103"/>
      <c r="R485" s="100"/>
      <c r="S485" s="102"/>
      <c r="U485" s="100"/>
      <c r="V485" s="100"/>
      <c r="X485" s="104"/>
      <c r="Z485" s="100"/>
    </row>
    <row r="486" spans="4:26" ht="14.25" customHeight="1" x14ac:dyDescent="0.25">
      <c r="D486" s="116"/>
      <c r="G486" s="111"/>
      <c r="H486" s="98"/>
      <c r="I486" s="99"/>
      <c r="J486" s="100"/>
      <c r="K486" s="101"/>
      <c r="M486" s="99"/>
      <c r="N486" s="100"/>
      <c r="O486" s="102"/>
      <c r="Q486" s="103"/>
      <c r="R486" s="100"/>
      <c r="S486" s="102"/>
      <c r="U486" s="100"/>
      <c r="V486" s="100"/>
      <c r="X486" s="104"/>
      <c r="Z486" s="100"/>
    </row>
    <row r="487" spans="4:26" ht="14.25" customHeight="1" x14ac:dyDescent="0.25">
      <c r="D487" s="116"/>
      <c r="G487" s="111"/>
      <c r="H487" s="98"/>
      <c r="I487" s="99"/>
      <c r="J487" s="100"/>
      <c r="K487" s="101"/>
      <c r="M487" s="99"/>
      <c r="N487" s="100"/>
      <c r="O487" s="102"/>
      <c r="Q487" s="103"/>
      <c r="R487" s="100"/>
      <c r="S487" s="102"/>
      <c r="U487" s="100"/>
      <c r="V487" s="100"/>
      <c r="X487" s="104"/>
      <c r="Z487" s="100"/>
    </row>
    <row r="488" spans="4:26" ht="14.25" customHeight="1" x14ac:dyDescent="0.25">
      <c r="D488" s="116"/>
      <c r="G488" s="111"/>
      <c r="H488" s="98"/>
      <c r="I488" s="99"/>
      <c r="J488" s="100"/>
      <c r="K488" s="101"/>
      <c r="M488" s="99"/>
      <c r="N488" s="100"/>
      <c r="O488" s="102"/>
      <c r="Q488" s="103"/>
      <c r="R488" s="100"/>
      <c r="S488" s="102"/>
      <c r="U488" s="100"/>
      <c r="V488" s="100"/>
      <c r="X488" s="104"/>
      <c r="Z488" s="100"/>
    </row>
    <row r="489" spans="4:26" ht="14.25" customHeight="1" x14ac:dyDescent="0.25">
      <c r="D489" s="116"/>
      <c r="G489" s="111"/>
      <c r="H489" s="98"/>
      <c r="I489" s="99"/>
      <c r="J489" s="100"/>
      <c r="K489" s="101"/>
      <c r="M489" s="99"/>
      <c r="N489" s="100"/>
      <c r="O489" s="102"/>
      <c r="Q489" s="103"/>
      <c r="R489" s="100"/>
      <c r="S489" s="102"/>
      <c r="U489" s="100"/>
      <c r="V489" s="100"/>
      <c r="X489" s="104"/>
      <c r="Z489" s="100"/>
    </row>
    <row r="490" spans="4:26" ht="14.25" customHeight="1" x14ac:dyDescent="0.25">
      <c r="D490" s="116"/>
      <c r="G490" s="111"/>
      <c r="H490" s="98"/>
      <c r="I490" s="99"/>
      <c r="J490" s="100"/>
      <c r="K490" s="101"/>
      <c r="M490" s="99"/>
      <c r="N490" s="100"/>
      <c r="O490" s="102"/>
      <c r="Q490" s="103"/>
      <c r="R490" s="100"/>
      <c r="S490" s="102"/>
      <c r="U490" s="100"/>
      <c r="V490" s="100"/>
      <c r="X490" s="104"/>
      <c r="Z490" s="100"/>
    </row>
    <row r="491" spans="4:26" ht="14.25" customHeight="1" x14ac:dyDescent="0.25">
      <c r="D491" s="116"/>
      <c r="G491" s="111"/>
      <c r="H491" s="98"/>
      <c r="I491" s="99"/>
      <c r="J491" s="100"/>
      <c r="K491" s="101"/>
      <c r="M491" s="99"/>
      <c r="N491" s="100"/>
      <c r="O491" s="102"/>
      <c r="Q491" s="103"/>
      <c r="R491" s="100"/>
      <c r="S491" s="102"/>
      <c r="U491" s="100"/>
      <c r="V491" s="100"/>
      <c r="X491" s="104"/>
      <c r="Z491" s="100"/>
    </row>
    <row r="492" spans="4:26" ht="14.25" customHeight="1" x14ac:dyDescent="0.25">
      <c r="D492" s="116"/>
      <c r="G492" s="111"/>
      <c r="H492" s="98"/>
      <c r="I492" s="99"/>
      <c r="J492" s="100"/>
      <c r="K492" s="101"/>
      <c r="M492" s="99"/>
      <c r="N492" s="100"/>
      <c r="O492" s="102"/>
      <c r="Q492" s="103"/>
      <c r="R492" s="100"/>
      <c r="S492" s="102"/>
      <c r="U492" s="100"/>
      <c r="V492" s="100"/>
      <c r="X492" s="104"/>
      <c r="Z492" s="100"/>
    </row>
    <row r="493" spans="4:26" ht="14.25" customHeight="1" x14ac:dyDescent="0.25">
      <c r="D493" s="116"/>
      <c r="G493" s="111"/>
      <c r="H493" s="98"/>
      <c r="I493" s="99"/>
      <c r="J493" s="100"/>
      <c r="K493" s="101"/>
      <c r="M493" s="99"/>
      <c r="N493" s="100"/>
      <c r="O493" s="102"/>
      <c r="Q493" s="103"/>
      <c r="R493" s="100"/>
      <c r="S493" s="102"/>
      <c r="U493" s="100"/>
      <c r="V493" s="100"/>
      <c r="X493" s="104"/>
      <c r="Z493" s="100"/>
    </row>
    <row r="494" spans="4:26" ht="14.25" customHeight="1" x14ac:dyDescent="0.25">
      <c r="D494" s="116"/>
      <c r="G494" s="111"/>
      <c r="H494" s="98"/>
      <c r="I494" s="99"/>
      <c r="J494" s="100"/>
      <c r="K494" s="101"/>
      <c r="M494" s="99"/>
      <c r="N494" s="100"/>
      <c r="O494" s="102"/>
      <c r="Q494" s="103"/>
      <c r="R494" s="100"/>
      <c r="S494" s="102"/>
      <c r="U494" s="100"/>
      <c r="V494" s="100"/>
      <c r="X494" s="104"/>
      <c r="Z494" s="100"/>
    </row>
    <row r="495" spans="4:26" ht="14.25" customHeight="1" x14ac:dyDescent="0.25">
      <c r="D495" s="116"/>
      <c r="G495" s="111"/>
      <c r="H495" s="98"/>
      <c r="I495" s="99"/>
      <c r="J495" s="100"/>
      <c r="K495" s="101"/>
      <c r="M495" s="99"/>
      <c r="N495" s="100"/>
      <c r="O495" s="102"/>
      <c r="Q495" s="103"/>
      <c r="R495" s="100"/>
      <c r="S495" s="102"/>
      <c r="U495" s="100"/>
      <c r="V495" s="100"/>
      <c r="X495" s="104"/>
      <c r="Z495" s="100"/>
    </row>
    <row r="496" spans="4:26" ht="14.25" customHeight="1" x14ac:dyDescent="0.25">
      <c r="D496" s="116"/>
      <c r="G496" s="111"/>
      <c r="H496" s="98"/>
      <c r="I496" s="99"/>
      <c r="J496" s="100"/>
      <c r="K496" s="101"/>
      <c r="M496" s="99"/>
      <c r="N496" s="100"/>
      <c r="O496" s="102"/>
      <c r="Q496" s="103"/>
      <c r="R496" s="100"/>
      <c r="S496" s="102"/>
      <c r="U496" s="100"/>
      <c r="V496" s="100"/>
      <c r="X496" s="104"/>
      <c r="Z496" s="100"/>
    </row>
    <row r="497" spans="4:26" ht="14.25" customHeight="1" x14ac:dyDescent="0.25">
      <c r="D497" s="116"/>
      <c r="G497" s="111"/>
      <c r="H497" s="98"/>
      <c r="I497" s="99"/>
      <c r="J497" s="100"/>
      <c r="K497" s="101"/>
      <c r="M497" s="99"/>
      <c r="N497" s="100"/>
      <c r="O497" s="102"/>
      <c r="Q497" s="103"/>
      <c r="R497" s="100"/>
      <c r="S497" s="102"/>
      <c r="U497" s="100"/>
      <c r="V497" s="100"/>
      <c r="X497" s="104"/>
      <c r="Z497" s="100"/>
    </row>
    <row r="498" spans="4:26" ht="14.25" customHeight="1" x14ac:dyDescent="0.25">
      <c r="D498" s="116"/>
      <c r="G498" s="111"/>
      <c r="H498" s="98"/>
      <c r="I498" s="99"/>
      <c r="J498" s="100"/>
      <c r="K498" s="101"/>
      <c r="M498" s="99"/>
      <c r="N498" s="100"/>
      <c r="O498" s="102"/>
      <c r="Q498" s="103"/>
      <c r="R498" s="100"/>
      <c r="S498" s="102"/>
      <c r="U498" s="100"/>
      <c r="V498" s="100"/>
      <c r="X498" s="104"/>
      <c r="Z498" s="100"/>
    </row>
    <row r="499" spans="4:26" ht="14.25" customHeight="1" x14ac:dyDescent="0.25">
      <c r="D499" s="116"/>
      <c r="G499" s="111"/>
      <c r="H499" s="98"/>
      <c r="I499" s="99"/>
      <c r="J499" s="100"/>
      <c r="K499" s="101"/>
      <c r="M499" s="99"/>
      <c r="N499" s="100"/>
      <c r="O499" s="102"/>
      <c r="Q499" s="103"/>
      <c r="R499" s="100"/>
      <c r="S499" s="102"/>
      <c r="U499" s="100"/>
      <c r="V499" s="100"/>
      <c r="X499" s="104"/>
      <c r="Z499" s="100"/>
    </row>
    <row r="500" spans="4:26" ht="14.25" customHeight="1" x14ac:dyDescent="0.25">
      <c r="D500" s="116"/>
      <c r="G500" s="111"/>
      <c r="H500" s="98"/>
      <c r="I500" s="99"/>
      <c r="J500" s="100"/>
      <c r="K500" s="101"/>
      <c r="M500" s="99"/>
      <c r="N500" s="100"/>
      <c r="O500" s="102"/>
      <c r="Q500" s="103"/>
      <c r="R500" s="100"/>
      <c r="S500" s="102"/>
      <c r="U500" s="100"/>
      <c r="V500" s="100"/>
      <c r="X500" s="104"/>
      <c r="Z500" s="100"/>
    </row>
    <row r="501" spans="4:26" ht="14.25" customHeight="1" x14ac:dyDescent="0.25">
      <c r="D501" s="116"/>
      <c r="G501" s="111"/>
      <c r="H501" s="98"/>
      <c r="I501" s="99"/>
      <c r="J501" s="100"/>
      <c r="K501" s="101"/>
      <c r="M501" s="99"/>
      <c r="N501" s="100"/>
      <c r="O501" s="102"/>
      <c r="Q501" s="103"/>
      <c r="R501" s="100"/>
      <c r="S501" s="102"/>
      <c r="U501" s="100"/>
      <c r="V501" s="100"/>
      <c r="X501" s="104"/>
      <c r="Z501" s="100"/>
    </row>
    <row r="502" spans="4:26" ht="14.25" customHeight="1" x14ac:dyDescent="0.25">
      <c r="D502" s="116"/>
      <c r="G502" s="111"/>
      <c r="H502" s="98"/>
      <c r="I502" s="99"/>
      <c r="J502" s="100"/>
      <c r="K502" s="101"/>
      <c r="M502" s="99"/>
      <c r="N502" s="100"/>
      <c r="O502" s="102"/>
      <c r="Q502" s="103"/>
      <c r="R502" s="100"/>
      <c r="S502" s="102"/>
      <c r="U502" s="100"/>
      <c r="V502" s="100"/>
      <c r="X502" s="104"/>
      <c r="Z502" s="100"/>
    </row>
    <row r="503" spans="4:26" ht="14.25" customHeight="1" x14ac:dyDescent="0.25">
      <c r="D503" s="116"/>
      <c r="G503" s="111"/>
      <c r="H503" s="98"/>
      <c r="I503" s="99"/>
      <c r="J503" s="100"/>
      <c r="K503" s="101"/>
      <c r="M503" s="99"/>
      <c r="N503" s="100"/>
      <c r="O503" s="102"/>
      <c r="Q503" s="103"/>
      <c r="R503" s="100"/>
      <c r="S503" s="102"/>
      <c r="U503" s="100"/>
      <c r="V503" s="100"/>
      <c r="X503" s="104"/>
      <c r="Z503" s="100"/>
    </row>
    <row r="504" spans="4:26" ht="14.25" customHeight="1" x14ac:dyDescent="0.25">
      <c r="D504" s="116"/>
      <c r="G504" s="111"/>
      <c r="H504" s="98"/>
      <c r="I504" s="99"/>
      <c r="J504" s="100"/>
      <c r="K504" s="101"/>
      <c r="M504" s="99"/>
      <c r="N504" s="100"/>
      <c r="O504" s="102"/>
      <c r="Q504" s="103"/>
      <c r="R504" s="100"/>
      <c r="S504" s="102"/>
      <c r="U504" s="100"/>
      <c r="V504" s="100"/>
      <c r="X504" s="104"/>
      <c r="Z504" s="100"/>
    </row>
    <row r="505" spans="4:26" ht="14.25" customHeight="1" x14ac:dyDescent="0.25">
      <c r="D505" s="116"/>
      <c r="G505" s="111"/>
      <c r="H505" s="98"/>
      <c r="I505" s="99"/>
      <c r="J505" s="100"/>
      <c r="K505" s="101"/>
      <c r="M505" s="99"/>
      <c r="N505" s="100"/>
      <c r="O505" s="102"/>
      <c r="Q505" s="103"/>
      <c r="R505" s="100"/>
      <c r="S505" s="102"/>
      <c r="U505" s="100"/>
      <c r="V505" s="100"/>
      <c r="X505" s="104"/>
      <c r="Z505" s="100"/>
    </row>
    <row r="506" spans="4:26" ht="14.25" customHeight="1" x14ac:dyDescent="0.25">
      <c r="D506" s="116"/>
      <c r="G506" s="111"/>
      <c r="H506" s="98"/>
      <c r="I506" s="99"/>
      <c r="J506" s="100"/>
      <c r="K506" s="101"/>
      <c r="M506" s="99"/>
      <c r="N506" s="100"/>
      <c r="O506" s="102"/>
      <c r="Q506" s="103"/>
      <c r="R506" s="100"/>
      <c r="S506" s="102"/>
      <c r="U506" s="100"/>
      <c r="V506" s="100"/>
      <c r="X506" s="104"/>
      <c r="Z506" s="100"/>
    </row>
    <row r="507" spans="4:26" ht="14.25" customHeight="1" x14ac:dyDescent="0.25">
      <c r="D507" s="116"/>
      <c r="G507" s="111"/>
      <c r="H507" s="98"/>
      <c r="I507" s="99"/>
      <c r="J507" s="100"/>
      <c r="K507" s="101"/>
      <c r="M507" s="99"/>
      <c r="N507" s="100"/>
      <c r="O507" s="102"/>
      <c r="Q507" s="103"/>
      <c r="R507" s="100"/>
      <c r="S507" s="102"/>
      <c r="U507" s="100"/>
      <c r="V507" s="100"/>
      <c r="X507" s="104"/>
      <c r="Z507" s="100"/>
    </row>
    <row r="508" spans="4:26" ht="14.25" customHeight="1" x14ac:dyDescent="0.25">
      <c r="D508" s="116"/>
      <c r="G508" s="111"/>
      <c r="H508" s="98"/>
      <c r="I508" s="99"/>
      <c r="J508" s="100"/>
      <c r="K508" s="101"/>
      <c r="M508" s="99"/>
      <c r="N508" s="100"/>
      <c r="O508" s="102"/>
      <c r="Q508" s="103"/>
      <c r="R508" s="100"/>
      <c r="S508" s="102"/>
      <c r="U508" s="100"/>
      <c r="V508" s="100"/>
      <c r="X508" s="104"/>
      <c r="Z508" s="100"/>
    </row>
    <row r="509" spans="4:26" ht="14.25" customHeight="1" x14ac:dyDescent="0.25">
      <c r="D509" s="116"/>
      <c r="G509" s="111"/>
      <c r="H509" s="98"/>
      <c r="I509" s="99"/>
      <c r="J509" s="100"/>
      <c r="K509" s="101"/>
      <c r="M509" s="99"/>
      <c r="N509" s="100"/>
      <c r="O509" s="102"/>
      <c r="Q509" s="103"/>
      <c r="R509" s="100"/>
      <c r="S509" s="102"/>
      <c r="U509" s="100"/>
      <c r="V509" s="100"/>
      <c r="X509" s="104"/>
      <c r="Z509" s="100"/>
    </row>
    <row r="510" spans="4:26" ht="14.25" customHeight="1" x14ac:dyDescent="0.25">
      <c r="D510" s="116"/>
      <c r="G510" s="111"/>
      <c r="H510" s="98"/>
      <c r="I510" s="99"/>
      <c r="J510" s="100"/>
      <c r="K510" s="101"/>
      <c r="M510" s="99"/>
      <c r="N510" s="100"/>
      <c r="O510" s="102"/>
      <c r="Q510" s="103"/>
      <c r="R510" s="100"/>
      <c r="S510" s="102"/>
      <c r="U510" s="100"/>
      <c r="V510" s="100"/>
      <c r="X510" s="104"/>
      <c r="Z510" s="100"/>
    </row>
    <row r="511" spans="4:26" ht="14.25" customHeight="1" x14ac:dyDescent="0.25">
      <c r="D511" s="116"/>
      <c r="G511" s="111"/>
      <c r="H511" s="98"/>
      <c r="I511" s="99"/>
      <c r="J511" s="100"/>
      <c r="K511" s="101"/>
      <c r="M511" s="99"/>
      <c r="N511" s="100"/>
      <c r="O511" s="102"/>
      <c r="Q511" s="103"/>
      <c r="R511" s="100"/>
      <c r="S511" s="102"/>
      <c r="U511" s="100"/>
      <c r="V511" s="100"/>
      <c r="X511" s="104"/>
      <c r="Z511" s="100"/>
    </row>
    <row r="512" spans="4:26" ht="14.25" customHeight="1" x14ac:dyDescent="0.25">
      <c r="D512" s="116"/>
      <c r="G512" s="111"/>
      <c r="H512" s="98"/>
      <c r="I512" s="99"/>
      <c r="J512" s="100"/>
      <c r="K512" s="101"/>
      <c r="M512" s="99"/>
      <c r="N512" s="100"/>
      <c r="O512" s="102"/>
      <c r="Q512" s="103"/>
      <c r="R512" s="100"/>
      <c r="S512" s="102"/>
      <c r="U512" s="100"/>
      <c r="V512" s="100"/>
      <c r="X512" s="104"/>
      <c r="Z512" s="100"/>
    </row>
    <row r="513" spans="4:26" ht="14.25" customHeight="1" x14ac:dyDescent="0.25">
      <c r="D513" s="116"/>
      <c r="G513" s="111"/>
      <c r="H513" s="98"/>
      <c r="I513" s="99"/>
      <c r="J513" s="100"/>
      <c r="K513" s="101"/>
      <c r="M513" s="99"/>
      <c r="N513" s="100"/>
      <c r="O513" s="102"/>
      <c r="Q513" s="103"/>
      <c r="R513" s="100"/>
      <c r="S513" s="102"/>
      <c r="U513" s="100"/>
      <c r="V513" s="100"/>
      <c r="X513" s="104"/>
      <c r="Z513" s="100"/>
    </row>
    <row r="514" spans="4:26" ht="14.25" customHeight="1" x14ac:dyDescent="0.25">
      <c r="D514" s="116"/>
      <c r="G514" s="111"/>
      <c r="H514" s="98"/>
      <c r="I514" s="99"/>
      <c r="J514" s="100"/>
      <c r="K514" s="101"/>
      <c r="M514" s="99"/>
      <c r="N514" s="100"/>
      <c r="O514" s="102"/>
      <c r="Q514" s="103"/>
      <c r="R514" s="100"/>
      <c r="S514" s="102"/>
      <c r="U514" s="100"/>
      <c r="V514" s="100"/>
      <c r="X514" s="104"/>
      <c r="Z514" s="100"/>
    </row>
    <row r="515" spans="4:26" ht="14.25" customHeight="1" x14ac:dyDescent="0.25">
      <c r="D515" s="116"/>
      <c r="G515" s="111"/>
      <c r="H515" s="98"/>
      <c r="I515" s="99"/>
      <c r="J515" s="100"/>
      <c r="K515" s="101"/>
      <c r="M515" s="99"/>
      <c r="N515" s="100"/>
      <c r="O515" s="102"/>
      <c r="Q515" s="103"/>
      <c r="R515" s="100"/>
      <c r="S515" s="102"/>
      <c r="U515" s="100"/>
      <c r="V515" s="100"/>
      <c r="X515" s="104"/>
      <c r="Z515" s="100"/>
    </row>
    <row r="516" spans="4:26" ht="14.25" customHeight="1" x14ac:dyDescent="0.25">
      <c r="D516" s="116"/>
      <c r="G516" s="111"/>
      <c r="H516" s="98"/>
      <c r="I516" s="99"/>
      <c r="J516" s="100"/>
      <c r="K516" s="101"/>
      <c r="M516" s="99"/>
      <c r="N516" s="100"/>
      <c r="O516" s="102"/>
      <c r="Q516" s="103"/>
      <c r="R516" s="100"/>
      <c r="S516" s="102"/>
      <c r="U516" s="100"/>
      <c r="V516" s="100"/>
      <c r="X516" s="104"/>
      <c r="Z516" s="100"/>
    </row>
    <row r="517" spans="4:26" ht="14.25" customHeight="1" x14ac:dyDescent="0.25">
      <c r="D517" s="116"/>
      <c r="G517" s="111"/>
      <c r="H517" s="98"/>
      <c r="I517" s="99"/>
      <c r="J517" s="100"/>
      <c r="K517" s="101"/>
      <c r="M517" s="99"/>
      <c r="N517" s="100"/>
      <c r="O517" s="102"/>
      <c r="Q517" s="103"/>
      <c r="R517" s="100"/>
      <c r="S517" s="102"/>
      <c r="U517" s="100"/>
      <c r="V517" s="100"/>
      <c r="X517" s="104"/>
      <c r="Z517" s="100"/>
    </row>
    <row r="518" spans="4:26" ht="14.25" customHeight="1" x14ac:dyDescent="0.25">
      <c r="D518" s="116"/>
      <c r="G518" s="111"/>
      <c r="H518" s="98"/>
      <c r="I518" s="99"/>
      <c r="J518" s="100"/>
      <c r="K518" s="101"/>
      <c r="M518" s="99"/>
      <c r="N518" s="100"/>
      <c r="O518" s="102"/>
      <c r="Q518" s="103"/>
      <c r="R518" s="100"/>
      <c r="S518" s="102"/>
      <c r="U518" s="100"/>
      <c r="V518" s="100"/>
      <c r="X518" s="104"/>
      <c r="Z518" s="100"/>
    </row>
    <row r="519" spans="4:26" ht="14.25" customHeight="1" x14ac:dyDescent="0.25">
      <c r="D519" s="116"/>
      <c r="G519" s="111"/>
      <c r="H519" s="98"/>
      <c r="I519" s="99"/>
      <c r="J519" s="100"/>
      <c r="K519" s="101"/>
      <c r="M519" s="99"/>
      <c r="N519" s="100"/>
      <c r="O519" s="102"/>
      <c r="Q519" s="103"/>
      <c r="R519" s="100"/>
      <c r="S519" s="102"/>
      <c r="U519" s="100"/>
      <c r="V519" s="100"/>
      <c r="X519" s="104"/>
      <c r="Z519" s="100"/>
    </row>
    <row r="520" spans="4:26" ht="14.25" customHeight="1" x14ac:dyDescent="0.25">
      <c r="D520" s="116"/>
      <c r="G520" s="111"/>
      <c r="H520" s="98"/>
      <c r="I520" s="99"/>
      <c r="J520" s="100"/>
      <c r="K520" s="101"/>
      <c r="M520" s="99"/>
      <c r="N520" s="100"/>
      <c r="O520" s="102"/>
      <c r="Q520" s="103"/>
      <c r="R520" s="100"/>
      <c r="S520" s="102"/>
      <c r="U520" s="100"/>
      <c r="V520" s="100"/>
      <c r="X520" s="104"/>
      <c r="Z520" s="100"/>
    </row>
    <row r="521" spans="4:26" ht="14.25" customHeight="1" x14ac:dyDescent="0.25">
      <c r="D521" s="116"/>
      <c r="G521" s="111"/>
      <c r="H521" s="98"/>
      <c r="I521" s="99"/>
      <c r="J521" s="100"/>
      <c r="K521" s="101"/>
      <c r="M521" s="99"/>
      <c r="N521" s="100"/>
      <c r="O521" s="102"/>
      <c r="Q521" s="103"/>
      <c r="R521" s="100"/>
      <c r="S521" s="102"/>
      <c r="U521" s="100"/>
      <c r="V521" s="100"/>
      <c r="X521" s="104"/>
      <c r="Z521" s="100"/>
    </row>
    <row r="522" spans="4:26" ht="14.25" customHeight="1" x14ac:dyDescent="0.25">
      <c r="D522" s="116"/>
      <c r="G522" s="111"/>
      <c r="H522" s="98"/>
      <c r="I522" s="99"/>
      <c r="J522" s="100"/>
      <c r="K522" s="101"/>
      <c r="M522" s="99"/>
      <c r="N522" s="100"/>
      <c r="O522" s="102"/>
      <c r="Q522" s="103"/>
      <c r="R522" s="100"/>
      <c r="S522" s="102"/>
      <c r="U522" s="100"/>
      <c r="V522" s="100"/>
      <c r="X522" s="104"/>
      <c r="Z522" s="100"/>
    </row>
    <row r="523" spans="4:26" ht="14.25" customHeight="1" x14ac:dyDescent="0.25">
      <c r="D523" s="116"/>
      <c r="G523" s="111"/>
      <c r="H523" s="98"/>
      <c r="I523" s="99"/>
      <c r="J523" s="100"/>
      <c r="K523" s="101"/>
      <c r="M523" s="99"/>
      <c r="N523" s="100"/>
      <c r="O523" s="102"/>
      <c r="Q523" s="103"/>
      <c r="R523" s="100"/>
      <c r="S523" s="102"/>
      <c r="U523" s="100"/>
      <c r="V523" s="100"/>
      <c r="X523" s="104"/>
      <c r="Z523" s="100"/>
    </row>
    <row r="524" spans="4:26" ht="14.25" customHeight="1" x14ac:dyDescent="0.25">
      <c r="D524" s="116"/>
      <c r="G524" s="111"/>
      <c r="H524" s="98"/>
      <c r="I524" s="99"/>
      <c r="J524" s="100"/>
      <c r="K524" s="101"/>
      <c r="M524" s="99"/>
      <c r="N524" s="100"/>
      <c r="O524" s="102"/>
      <c r="Q524" s="103"/>
      <c r="R524" s="100"/>
      <c r="S524" s="102"/>
      <c r="U524" s="100"/>
      <c r="V524" s="100"/>
      <c r="X524" s="104"/>
      <c r="Z524" s="100"/>
    </row>
    <row r="525" spans="4:26" ht="14.25" customHeight="1" x14ac:dyDescent="0.25">
      <c r="D525" s="116"/>
      <c r="G525" s="111"/>
      <c r="H525" s="98"/>
      <c r="I525" s="99"/>
      <c r="J525" s="100"/>
      <c r="K525" s="101"/>
      <c r="M525" s="99"/>
      <c r="N525" s="100"/>
      <c r="O525" s="102"/>
      <c r="Q525" s="103"/>
      <c r="R525" s="100"/>
      <c r="S525" s="102"/>
      <c r="U525" s="100"/>
      <c r="V525" s="100"/>
      <c r="X525" s="104"/>
      <c r="Z525" s="100"/>
    </row>
    <row r="526" spans="4:26" ht="14.25" customHeight="1" x14ac:dyDescent="0.25">
      <c r="D526" s="116"/>
      <c r="G526" s="111"/>
      <c r="H526" s="98"/>
      <c r="I526" s="99"/>
      <c r="J526" s="100"/>
      <c r="K526" s="101"/>
      <c r="M526" s="99"/>
      <c r="N526" s="100"/>
      <c r="O526" s="102"/>
      <c r="Q526" s="103"/>
      <c r="R526" s="100"/>
      <c r="S526" s="102"/>
      <c r="U526" s="100"/>
      <c r="V526" s="100"/>
      <c r="X526" s="104"/>
      <c r="Z526" s="100"/>
    </row>
    <row r="527" spans="4:26" ht="14.25" customHeight="1" x14ac:dyDescent="0.25">
      <c r="D527" s="116"/>
      <c r="G527" s="111"/>
      <c r="H527" s="98"/>
      <c r="I527" s="99"/>
      <c r="J527" s="100"/>
      <c r="K527" s="101"/>
      <c r="M527" s="99"/>
      <c r="N527" s="100"/>
      <c r="O527" s="102"/>
      <c r="Q527" s="103"/>
      <c r="R527" s="100"/>
      <c r="S527" s="102"/>
      <c r="U527" s="100"/>
      <c r="V527" s="100"/>
      <c r="X527" s="104"/>
      <c r="Z527" s="100"/>
    </row>
    <row r="528" spans="4:26" ht="14.25" customHeight="1" x14ac:dyDescent="0.25">
      <c r="D528" s="116"/>
      <c r="G528" s="111"/>
      <c r="H528" s="98"/>
      <c r="I528" s="99"/>
      <c r="J528" s="100"/>
      <c r="K528" s="101"/>
      <c r="M528" s="99"/>
      <c r="N528" s="100"/>
      <c r="O528" s="102"/>
      <c r="Q528" s="103"/>
      <c r="R528" s="100"/>
      <c r="S528" s="102"/>
      <c r="U528" s="100"/>
      <c r="V528" s="100"/>
      <c r="X528" s="104"/>
      <c r="Z528" s="100"/>
    </row>
    <row r="529" spans="4:26" ht="14.25" customHeight="1" x14ac:dyDescent="0.25">
      <c r="D529" s="116"/>
      <c r="G529" s="111"/>
      <c r="H529" s="98"/>
      <c r="I529" s="99"/>
      <c r="J529" s="100"/>
      <c r="K529" s="101"/>
      <c r="M529" s="99"/>
      <c r="N529" s="100"/>
      <c r="O529" s="102"/>
      <c r="Q529" s="103"/>
      <c r="R529" s="100"/>
      <c r="S529" s="102"/>
      <c r="U529" s="100"/>
      <c r="V529" s="100"/>
      <c r="X529" s="104"/>
      <c r="Z529" s="100"/>
    </row>
    <row r="530" spans="4:26" ht="14.25" customHeight="1" x14ac:dyDescent="0.25">
      <c r="D530" s="116"/>
      <c r="G530" s="111"/>
      <c r="H530" s="98"/>
      <c r="I530" s="99"/>
      <c r="J530" s="100"/>
      <c r="K530" s="101"/>
      <c r="M530" s="99"/>
      <c r="N530" s="100"/>
      <c r="O530" s="102"/>
      <c r="Q530" s="103"/>
      <c r="R530" s="100"/>
      <c r="S530" s="102"/>
      <c r="U530" s="100"/>
      <c r="V530" s="100"/>
      <c r="X530" s="104"/>
      <c r="Z530" s="100"/>
    </row>
    <row r="531" spans="4:26" ht="14.25" customHeight="1" x14ac:dyDescent="0.25">
      <c r="D531" s="116"/>
      <c r="G531" s="111"/>
      <c r="H531" s="98"/>
      <c r="I531" s="99"/>
      <c r="J531" s="100"/>
      <c r="K531" s="101"/>
      <c r="M531" s="99"/>
      <c r="N531" s="100"/>
      <c r="O531" s="102"/>
      <c r="Q531" s="103"/>
      <c r="R531" s="100"/>
      <c r="S531" s="102"/>
      <c r="U531" s="100"/>
      <c r="V531" s="100"/>
      <c r="X531" s="104"/>
      <c r="Z531" s="100"/>
    </row>
    <row r="532" spans="4:26" ht="14.25" customHeight="1" x14ac:dyDescent="0.25">
      <c r="D532" s="116"/>
      <c r="G532" s="111"/>
      <c r="H532" s="98"/>
      <c r="I532" s="99"/>
      <c r="J532" s="100"/>
      <c r="K532" s="101"/>
      <c r="M532" s="99"/>
      <c r="N532" s="100"/>
      <c r="O532" s="102"/>
      <c r="Q532" s="103"/>
      <c r="R532" s="100"/>
      <c r="S532" s="102"/>
      <c r="U532" s="100"/>
      <c r="V532" s="100"/>
      <c r="X532" s="104"/>
      <c r="Z532" s="100"/>
    </row>
    <row r="533" spans="4:26" ht="14.25" customHeight="1" x14ac:dyDescent="0.25">
      <c r="D533" s="116"/>
      <c r="G533" s="111"/>
      <c r="H533" s="98"/>
      <c r="I533" s="99"/>
      <c r="J533" s="100"/>
      <c r="K533" s="101"/>
      <c r="M533" s="99"/>
      <c r="N533" s="100"/>
      <c r="O533" s="102"/>
      <c r="Q533" s="103"/>
      <c r="R533" s="100"/>
      <c r="S533" s="102"/>
      <c r="U533" s="100"/>
      <c r="V533" s="100"/>
      <c r="X533" s="104"/>
      <c r="Z533" s="100"/>
    </row>
    <row r="534" spans="4:26" ht="14.25" customHeight="1" x14ac:dyDescent="0.25">
      <c r="D534" s="116"/>
      <c r="G534" s="111"/>
      <c r="H534" s="98"/>
      <c r="I534" s="99"/>
      <c r="J534" s="100"/>
      <c r="K534" s="101"/>
      <c r="M534" s="99"/>
      <c r="N534" s="100"/>
      <c r="O534" s="102"/>
      <c r="Q534" s="103"/>
      <c r="R534" s="100"/>
      <c r="S534" s="102"/>
      <c r="U534" s="100"/>
      <c r="V534" s="100"/>
      <c r="X534" s="104"/>
      <c r="Z534" s="100"/>
    </row>
    <row r="535" spans="4:26" ht="14.25" customHeight="1" x14ac:dyDescent="0.25">
      <c r="D535" s="116"/>
      <c r="G535" s="111"/>
      <c r="H535" s="98"/>
      <c r="I535" s="99"/>
      <c r="J535" s="100"/>
      <c r="K535" s="101"/>
      <c r="M535" s="99"/>
      <c r="N535" s="100"/>
      <c r="O535" s="102"/>
      <c r="Q535" s="103"/>
      <c r="R535" s="100"/>
      <c r="S535" s="102"/>
      <c r="U535" s="100"/>
      <c r="V535" s="100"/>
      <c r="X535" s="104"/>
      <c r="Z535" s="100"/>
    </row>
    <row r="536" spans="4:26" ht="14.25" customHeight="1" x14ac:dyDescent="0.25">
      <c r="D536" s="116"/>
      <c r="G536" s="111"/>
      <c r="H536" s="98"/>
      <c r="I536" s="99"/>
      <c r="J536" s="100"/>
      <c r="K536" s="101"/>
      <c r="M536" s="99"/>
      <c r="N536" s="100"/>
      <c r="O536" s="102"/>
      <c r="Q536" s="103"/>
      <c r="R536" s="100"/>
      <c r="S536" s="102"/>
      <c r="U536" s="100"/>
      <c r="V536" s="100"/>
      <c r="X536" s="104"/>
      <c r="Z536" s="100"/>
    </row>
    <row r="537" spans="4:26" ht="14.25" customHeight="1" x14ac:dyDescent="0.25">
      <c r="D537" s="116"/>
      <c r="G537" s="111"/>
      <c r="H537" s="98"/>
      <c r="I537" s="99"/>
      <c r="J537" s="100"/>
      <c r="K537" s="101"/>
      <c r="M537" s="99"/>
      <c r="N537" s="100"/>
      <c r="O537" s="102"/>
      <c r="Q537" s="103"/>
      <c r="R537" s="100"/>
      <c r="S537" s="102"/>
      <c r="U537" s="100"/>
      <c r="V537" s="100"/>
      <c r="X537" s="104"/>
      <c r="Z537" s="100"/>
    </row>
    <row r="538" spans="4:26" ht="14.25" customHeight="1" x14ac:dyDescent="0.25">
      <c r="D538" s="116"/>
      <c r="G538" s="111"/>
      <c r="H538" s="98"/>
      <c r="I538" s="99"/>
      <c r="J538" s="100"/>
      <c r="K538" s="101"/>
      <c r="M538" s="99"/>
      <c r="N538" s="100"/>
      <c r="O538" s="102"/>
      <c r="Q538" s="103"/>
      <c r="R538" s="100"/>
      <c r="S538" s="102"/>
      <c r="U538" s="100"/>
      <c r="V538" s="100"/>
      <c r="X538" s="104"/>
      <c r="Z538" s="100"/>
    </row>
    <row r="539" spans="4:26" ht="14.25" customHeight="1" x14ac:dyDescent="0.25">
      <c r="D539" s="116"/>
      <c r="G539" s="111"/>
      <c r="H539" s="98"/>
      <c r="I539" s="99"/>
      <c r="J539" s="100"/>
      <c r="K539" s="101"/>
      <c r="M539" s="99"/>
      <c r="N539" s="100"/>
      <c r="O539" s="102"/>
      <c r="Q539" s="103"/>
      <c r="R539" s="100"/>
      <c r="S539" s="102"/>
      <c r="U539" s="100"/>
      <c r="V539" s="100"/>
      <c r="X539" s="104"/>
      <c r="Z539" s="100"/>
    </row>
    <row r="540" spans="4:26" ht="14.25" customHeight="1" x14ac:dyDescent="0.25">
      <c r="D540" s="116"/>
      <c r="G540" s="111"/>
      <c r="H540" s="98"/>
      <c r="I540" s="99"/>
      <c r="J540" s="100"/>
      <c r="K540" s="101"/>
      <c r="M540" s="99"/>
      <c r="N540" s="100"/>
      <c r="O540" s="102"/>
      <c r="Q540" s="103"/>
      <c r="R540" s="100"/>
      <c r="S540" s="102"/>
      <c r="U540" s="100"/>
      <c r="V540" s="100"/>
      <c r="X540" s="104"/>
      <c r="Z540" s="100"/>
    </row>
    <row r="541" spans="4:26" ht="14.25" customHeight="1" x14ac:dyDescent="0.25">
      <c r="D541" s="116"/>
      <c r="G541" s="111"/>
      <c r="H541" s="98"/>
      <c r="I541" s="99"/>
      <c r="J541" s="100"/>
      <c r="K541" s="101"/>
      <c r="M541" s="99"/>
      <c r="N541" s="100"/>
      <c r="O541" s="102"/>
      <c r="Q541" s="103"/>
      <c r="R541" s="100"/>
      <c r="S541" s="102"/>
      <c r="U541" s="100"/>
      <c r="V541" s="100"/>
      <c r="X541" s="104"/>
      <c r="Z541" s="100"/>
    </row>
    <row r="542" spans="4:26" ht="14.25" customHeight="1" x14ac:dyDescent="0.25">
      <c r="D542" s="116"/>
      <c r="G542" s="111"/>
      <c r="H542" s="98"/>
      <c r="I542" s="99"/>
      <c r="J542" s="100"/>
      <c r="K542" s="101"/>
      <c r="M542" s="99"/>
      <c r="N542" s="100"/>
      <c r="O542" s="102"/>
      <c r="Q542" s="103"/>
      <c r="R542" s="100"/>
      <c r="S542" s="102"/>
      <c r="U542" s="100"/>
      <c r="V542" s="100"/>
      <c r="X542" s="104"/>
      <c r="Z542" s="100"/>
    </row>
    <row r="543" spans="4:26" ht="14.25" customHeight="1" x14ac:dyDescent="0.25">
      <c r="D543" s="116"/>
      <c r="G543" s="111"/>
      <c r="H543" s="98"/>
      <c r="I543" s="99"/>
      <c r="J543" s="100"/>
      <c r="K543" s="101"/>
      <c r="M543" s="99"/>
      <c r="N543" s="100"/>
      <c r="O543" s="102"/>
      <c r="Q543" s="103"/>
      <c r="R543" s="100"/>
      <c r="S543" s="102"/>
      <c r="U543" s="100"/>
      <c r="V543" s="100"/>
      <c r="X543" s="104"/>
      <c r="Z543" s="100"/>
    </row>
    <row r="544" spans="4:26" ht="14.25" customHeight="1" x14ac:dyDescent="0.25">
      <c r="D544" s="116"/>
      <c r="G544" s="111"/>
      <c r="H544" s="98"/>
      <c r="I544" s="99"/>
      <c r="J544" s="100"/>
      <c r="K544" s="101"/>
      <c r="M544" s="99"/>
      <c r="N544" s="100"/>
      <c r="O544" s="102"/>
      <c r="Q544" s="103"/>
      <c r="R544" s="100"/>
      <c r="S544" s="102"/>
      <c r="U544" s="100"/>
      <c r="V544" s="100"/>
      <c r="X544" s="104"/>
      <c r="Z544" s="100"/>
    </row>
    <row r="545" spans="4:26" ht="14.25" customHeight="1" x14ac:dyDescent="0.25">
      <c r="D545" s="116"/>
      <c r="G545" s="111"/>
      <c r="H545" s="98"/>
      <c r="I545" s="99"/>
      <c r="J545" s="100"/>
      <c r="K545" s="101"/>
      <c r="M545" s="99"/>
      <c r="N545" s="100"/>
      <c r="O545" s="102"/>
      <c r="Q545" s="103"/>
      <c r="R545" s="100"/>
      <c r="S545" s="102"/>
      <c r="U545" s="100"/>
      <c r="V545" s="100"/>
      <c r="X545" s="104"/>
      <c r="Z545" s="100"/>
    </row>
    <row r="546" spans="4:26" ht="14.25" customHeight="1" x14ac:dyDescent="0.25">
      <c r="D546" s="116"/>
      <c r="G546" s="111"/>
      <c r="H546" s="98"/>
      <c r="I546" s="99"/>
      <c r="J546" s="100"/>
      <c r="K546" s="101"/>
      <c r="M546" s="99"/>
      <c r="N546" s="100"/>
      <c r="O546" s="102"/>
      <c r="Q546" s="103"/>
      <c r="R546" s="100"/>
      <c r="S546" s="102"/>
      <c r="U546" s="100"/>
      <c r="V546" s="100"/>
      <c r="X546" s="104"/>
      <c r="Z546" s="100"/>
    </row>
    <row r="547" spans="4:26" ht="14.25" customHeight="1" x14ac:dyDescent="0.25">
      <c r="D547" s="116"/>
      <c r="G547" s="111"/>
      <c r="H547" s="98"/>
      <c r="I547" s="99"/>
      <c r="J547" s="100"/>
      <c r="K547" s="101"/>
      <c r="M547" s="99"/>
      <c r="N547" s="100"/>
      <c r="O547" s="102"/>
      <c r="Q547" s="103"/>
      <c r="R547" s="100"/>
      <c r="S547" s="102"/>
      <c r="U547" s="100"/>
      <c r="V547" s="100"/>
      <c r="X547" s="104"/>
      <c r="Z547" s="100"/>
    </row>
    <row r="548" spans="4:26" ht="14.25" customHeight="1" x14ac:dyDescent="0.25">
      <c r="D548" s="116"/>
      <c r="G548" s="111"/>
      <c r="H548" s="98"/>
      <c r="I548" s="99"/>
      <c r="J548" s="100"/>
      <c r="K548" s="101"/>
      <c r="M548" s="99"/>
      <c r="N548" s="100"/>
      <c r="O548" s="102"/>
      <c r="Q548" s="103"/>
      <c r="R548" s="100"/>
      <c r="S548" s="102"/>
      <c r="U548" s="100"/>
      <c r="V548" s="100"/>
      <c r="X548" s="104"/>
      <c r="Z548" s="100"/>
    </row>
    <row r="549" spans="4:26" ht="14.25" customHeight="1" x14ac:dyDescent="0.25">
      <c r="D549" s="116"/>
      <c r="G549" s="111"/>
      <c r="H549" s="98"/>
      <c r="I549" s="99"/>
      <c r="J549" s="100"/>
      <c r="K549" s="101"/>
      <c r="M549" s="99"/>
      <c r="N549" s="100"/>
      <c r="O549" s="102"/>
      <c r="Q549" s="103"/>
      <c r="R549" s="100"/>
      <c r="S549" s="102"/>
      <c r="U549" s="100"/>
      <c r="V549" s="100"/>
      <c r="X549" s="104"/>
      <c r="Z549" s="100"/>
    </row>
    <row r="550" spans="4:26" ht="14.25" customHeight="1" x14ac:dyDescent="0.25">
      <c r="D550" s="116"/>
      <c r="G550" s="111"/>
      <c r="H550" s="98"/>
      <c r="I550" s="99"/>
      <c r="J550" s="100"/>
      <c r="K550" s="101"/>
      <c r="M550" s="99"/>
      <c r="N550" s="100"/>
      <c r="O550" s="102"/>
      <c r="Q550" s="103"/>
      <c r="R550" s="100"/>
      <c r="S550" s="102"/>
      <c r="U550" s="100"/>
      <c r="V550" s="100"/>
      <c r="X550" s="104"/>
      <c r="Z550" s="100"/>
    </row>
    <row r="551" spans="4:26" ht="14.25" customHeight="1" x14ac:dyDescent="0.25">
      <c r="D551" s="116"/>
      <c r="G551" s="111"/>
      <c r="H551" s="98"/>
      <c r="I551" s="99"/>
      <c r="J551" s="100"/>
      <c r="K551" s="101"/>
      <c r="M551" s="99"/>
      <c r="N551" s="100"/>
      <c r="O551" s="102"/>
      <c r="Q551" s="103"/>
      <c r="R551" s="100"/>
      <c r="S551" s="102"/>
      <c r="U551" s="100"/>
      <c r="V551" s="100"/>
      <c r="X551" s="104"/>
      <c r="Z551" s="100"/>
    </row>
    <row r="552" spans="4:26" ht="14.25" customHeight="1" x14ac:dyDescent="0.25">
      <c r="D552" s="116"/>
      <c r="G552" s="111"/>
      <c r="H552" s="98"/>
      <c r="I552" s="99"/>
      <c r="J552" s="100"/>
      <c r="K552" s="101"/>
      <c r="M552" s="99"/>
      <c r="N552" s="100"/>
      <c r="O552" s="102"/>
      <c r="Q552" s="103"/>
      <c r="R552" s="100"/>
      <c r="S552" s="102"/>
      <c r="U552" s="100"/>
      <c r="V552" s="100"/>
      <c r="X552" s="104"/>
      <c r="Z552" s="100"/>
    </row>
    <row r="553" spans="4:26" ht="14.25" customHeight="1" x14ac:dyDescent="0.25">
      <c r="D553" s="116"/>
      <c r="G553" s="111"/>
      <c r="H553" s="98"/>
      <c r="I553" s="99"/>
      <c r="J553" s="100"/>
      <c r="K553" s="101"/>
      <c r="M553" s="99"/>
      <c r="N553" s="100"/>
      <c r="O553" s="102"/>
      <c r="Q553" s="103"/>
      <c r="R553" s="100"/>
      <c r="S553" s="102"/>
      <c r="U553" s="100"/>
      <c r="V553" s="100"/>
      <c r="X553" s="104"/>
      <c r="Z553" s="100"/>
    </row>
    <row r="554" spans="4:26" ht="14.25" customHeight="1" x14ac:dyDescent="0.25">
      <c r="D554" s="116"/>
      <c r="G554" s="111"/>
      <c r="H554" s="98"/>
      <c r="I554" s="99"/>
      <c r="J554" s="100"/>
      <c r="K554" s="101"/>
      <c r="M554" s="99"/>
      <c r="N554" s="100"/>
      <c r="O554" s="102"/>
      <c r="Q554" s="103"/>
      <c r="R554" s="100"/>
      <c r="S554" s="102"/>
      <c r="U554" s="100"/>
      <c r="V554" s="100"/>
      <c r="X554" s="104"/>
      <c r="Z554" s="100"/>
    </row>
    <row r="555" spans="4:26" ht="14.25" customHeight="1" x14ac:dyDescent="0.25">
      <c r="D555" s="116"/>
      <c r="G555" s="111"/>
      <c r="H555" s="98"/>
      <c r="I555" s="99"/>
      <c r="J555" s="100"/>
      <c r="K555" s="101"/>
      <c r="M555" s="99"/>
      <c r="N555" s="100"/>
      <c r="O555" s="102"/>
      <c r="Q555" s="103"/>
      <c r="R555" s="100"/>
      <c r="S555" s="102"/>
      <c r="U555" s="100"/>
      <c r="V555" s="100"/>
      <c r="X555" s="104"/>
      <c r="Z555" s="100"/>
    </row>
    <row r="556" spans="4:26" ht="14.25" customHeight="1" x14ac:dyDescent="0.25">
      <c r="D556" s="116"/>
      <c r="G556" s="111"/>
      <c r="H556" s="98"/>
      <c r="I556" s="99"/>
      <c r="J556" s="100"/>
      <c r="K556" s="101"/>
      <c r="M556" s="99"/>
      <c r="N556" s="100"/>
      <c r="O556" s="102"/>
      <c r="Q556" s="103"/>
      <c r="R556" s="100"/>
      <c r="S556" s="102"/>
      <c r="U556" s="100"/>
      <c r="V556" s="100"/>
      <c r="X556" s="104"/>
      <c r="Z556" s="100"/>
    </row>
    <row r="557" spans="4:26" ht="14.25" customHeight="1" x14ac:dyDescent="0.25">
      <c r="D557" s="116"/>
      <c r="G557" s="111"/>
      <c r="H557" s="98"/>
      <c r="I557" s="99"/>
      <c r="J557" s="100"/>
      <c r="K557" s="101"/>
      <c r="M557" s="99"/>
      <c r="N557" s="100"/>
      <c r="O557" s="102"/>
      <c r="Q557" s="103"/>
      <c r="R557" s="100"/>
      <c r="S557" s="102"/>
      <c r="U557" s="100"/>
      <c r="V557" s="100"/>
      <c r="X557" s="104"/>
      <c r="Z557" s="100"/>
    </row>
    <row r="558" spans="4:26" ht="14.25" customHeight="1" x14ac:dyDescent="0.25">
      <c r="D558" s="116"/>
      <c r="G558" s="111"/>
      <c r="H558" s="98"/>
      <c r="I558" s="99"/>
      <c r="J558" s="100"/>
      <c r="K558" s="101"/>
      <c r="M558" s="99"/>
      <c r="N558" s="100"/>
      <c r="O558" s="102"/>
      <c r="Q558" s="103"/>
      <c r="R558" s="100"/>
      <c r="S558" s="102"/>
      <c r="U558" s="100"/>
      <c r="V558" s="100"/>
      <c r="X558" s="104"/>
      <c r="Z558" s="100"/>
    </row>
    <row r="559" spans="4:26" ht="14.25" customHeight="1" x14ac:dyDescent="0.25">
      <c r="D559" s="116"/>
      <c r="G559" s="111"/>
      <c r="H559" s="98"/>
      <c r="I559" s="99"/>
      <c r="J559" s="100"/>
      <c r="K559" s="101"/>
      <c r="M559" s="99"/>
      <c r="N559" s="100"/>
      <c r="O559" s="102"/>
      <c r="Q559" s="103"/>
      <c r="R559" s="100"/>
      <c r="S559" s="102"/>
      <c r="U559" s="100"/>
      <c r="V559" s="100"/>
      <c r="X559" s="104"/>
      <c r="Z559" s="100"/>
    </row>
    <row r="560" spans="4:26" ht="14.25" customHeight="1" x14ac:dyDescent="0.25">
      <c r="D560" s="116"/>
      <c r="G560" s="111"/>
      <c r="H560" s="98"/>
      <c r="I560" s="99"/>
      <c r="J560" s="100"/>
      <c r="K560" s="101"/>
      <c r="M560" s="99"/>
      <c r="N560" s="100"/>
      <c r="O560" s="102"/>
      <c r="Q560" s="103"/>
      <c r="R560" s="100"/>
      <c r="S560" s="102"/>
      <c r="U560" s="100"/>
      <c r="V560" s="100"/>
      <c r="X560" s="104"/>
      <c r="Z560" s="100"/>
    </row>
    <row r="561" spans="4:26" ht="14.25" customHeight="1" x14ac:dyDescent="0.25">
      <c r="D561" s="116"/>
      <c r="G561" s="111"/>
      <c r="H561" s="98"/>
      <c r="I561" s="99"/>
      <c r="J561" s="100"/>
      <c r="K561" s="101"/>
      <c r="M561" s="99"/>
      <c r="N561" s="100"/>
      <c r="O561" s="102"/>
      <c r="Q561" s="103"/>
      <c r="R561" s="100"/>
      <c r="S561" s="102"/>
      <c r="U561" s="100"/>
      <c r="V561" s="100"/>
      <c r="X561" s="104"/>
      <c r="Z561" s="100"/>
    </row>
    <row r="562" spans="4:26" ht="14.25" customHeight="1" x14ac:dyDescent="0.25">
      <c r="D562" s="116"/>
      <c r="G562" s="111"/>
      <c r="H562" s="98"/>
      <c r="I562" s="99"/>
      <c r="J562" s="100"/>
      <c r="K562" s="101"/>
      <c r="M562" s="99"/>
      <c r="N562" s="100"/>
      <c r="O562" s="102"/>
      <c r="Q562" s="103"/>
      <c r="R562" s="100"/>
      <c r="S562" s="102"/>
      <c r="U562" s="100"/>
      <c r="V562" s="100"/>
      <c r="X562" s="104"/>
      <c r="Z562" s="100"/>
    </row>
    <row r="563" spans="4:26" ht="14.25" customHeight="1" x14ac:dyDescent="0.25">
      <c r="D563" s="116"/>
      <c r="G563" s="111"/>
      <c r="H563" s="98"/>
      <c r="I563" s="99"/>
      <c r="J563" s="100"/>
      <c r="K563" s="101"/>
      <c r="M563" s="99"/>
      <c r="N563" s="100"/>
      <c r="O563" s="102"/>
      <c r="Q563" s="103"/>
      <c r="R563" s="100"/>
      <c r="S563" s="102"/>
      <c r="U563" s="100"/>
      <c r="V563" s="100"/>
      <c r="X563" s="104"/>
      <c r="Z563" s="100"/>
    </row>
    <row r="564" spans="4:26" ht="14.25" customHeight="1" x14ac:dyDescent="0.25">
      <c r="D564" s="116"/>
      <c r="G564" s="111"/>
      <c r="H564" s="98"/>
      <c r="I564" s="99"/>
      <c r="J564" s="100"/>
      <c r="K564" s="101"/>
      <c r="M564" s="99"/>
      <c r="N564" s="100"/>
      <c r="O564" s="102"/>
      <c r="Q564" s="103"/>
      <c r="R564" s="100"/>
      <c r="S564" s="102"/>
      <c r="U564" s="100"/>
      <c r="V564" s="100"/>
      <c r="X564" s="104"/>
      <c r="Z564" s="100"/>
    </row>
    <row r="565" spans="4:26" ht="14.25" customHeight="1" x14ac:dyDescent="0.25">
      <c r="D565" s="116"/>
      <c r="G565" s="111"/>
      <c r="H565" s="98"/>
      <c r="I565" s="99"/>
      <c r="J565" s="100"/>
      <c r="K565" s="101"/>
      <c r="M565" s="99"/>
      <c r="N565" s="100"/>
      <c r="O565" s="102"/>
      <c r="Q565" s="103"/>
      <c r="R565" s="100"/>
      <c r="S565" s="102"/>
      <c r="U565" s="100"/>
      <c r="V565" s="100"/>
      <c r="X565" s="104"/>
      <c r="Z565" s="100"/>
    </row>
    <row r="566" spans="4:26" ht="14.25" customHeight="1" x14ac:dyDescent="0.25">
      <c r="D566" s="116"/>
      <c r="G566" s="111"/>
      <c r="H566" s="98"/>
      <c r="I566" s="99"/>
      <c r="J566" s="100"/>
      <c r="K566" s="101"/>
      <c r="M566" s="99"/>
      <c r="N566" s="100"/>
      <c r="O566" s="102"/>
      <c r="Q566" s="103"/>
      <c r="R566" s="100"/>
      <c r="S566" s="102"/>
      <c r="U566" s="100"/>
      <c r="V566" s="100"/>
      <c r="X566" s="104"/>
      <c r="Z566" s="100"/>
    </row>
    <row r="567" spans="4:26" ht="14.25" customHeight="1" x14ac:dyDescent="0.25">
      <c r="D567" s="116"/>
      <c r="G567" s="111"/>
      <c r="H567" s="98"/>
      <c r="I567" s="99"/>
      <c r="J567" s="100"/>
      <c r="K567" s="101"/>
      <c r="M567" s="99"/>
      <c r="N567" s="100"/>
      <c r="O567" s="102"/>
      <c r="Q567" s="103"/>
      <c r="R567" s="100"/>
      <c r="S567" s="102"/>
      <c r="U567" s="100"/>
      <c r="V567" s="100"/>
      <c r="X567" s="104"/>
      <c r="Z567" s="100"/>
    </row>
    <row r="568" spans="4:26" ht="14.25" customHeight="1" x14ac:dyDescent="0.25">
      <c r="D568" s="116"/>
      <c r="G568" s="111"/>
      <c r="H568" s="98"/>
      <c r="I568" s="99"/>
      <c r="J568" s="100"/>
      <c r="K568" s="101"/>
      <c r="M568" s="99"/>
      <c r="N568" s="100"/>
      <c r="O568" s="102"/>
      <c r="Q568" s="103"/>
      <c r="R568" s="100"/>
      <c r="S568" s="102"/>
      <c r="U568" s="100"/>
      <c r="V568" s="100"/>
      <c r="X568" s="104"/>
      <c r="Z568" s="100"/>
    </row>
    <row r="569" spans="4:26" ht="14.25" customHeight="1" x14ac:dyDescent="0.25">
      <c r="D569" s="116"/>
      <c r="G569" s="111"/>
      <c r="H569" s="98"/>
      <c r="I569" s="99"/>
      <c r="J569" s="100"/>
      <c r="K569" s="101"/>
      <c r="M569" s="99"/>
      <c r="N569" s="100"/>
      <c r="O569" s="102"/>
      <c r="Q569" s="103"/>
      <c r="R569" s="100"/>
      <c r="S569" s="102"/>
      <c r="U569" s="100"/>
      <c r="V569" s="100"/>
      <c r="X569" s="104"/>
      <c r="Z569" s="100"/>
    </row>
    <row r="570" spans="4:26" ht="14.25" customHeight="1" x14ac:dyDescent="0.25">
      <c r="D570" s="116"/>
      <c r="G570" s="111"/>
      <c r="H570" s="98"/>
      <c r="I570" s="99"/>
      <c r="J570" s="100"/>
      <c r="K570" s="101"/>
      <c r="M570" s="99"/>
      <c r="N570" s="100"/>
      <c r="O570" s="102"/>
      <c r="Q570" s="103"/>
      <c r="R570" s="100"/>
      <c r="S570" s="102"/>
      <c r="U570" s="100"/>
      <c r="V570" s="100"/>
      <c r="X570" s="104"/>
      <c r="Z570" s="100"/>
    </row>
    <row r="571" spans="4:26" ht="14.25" customHeight="1" x14ac:dyDescent="0.25">
      <c r="D571" s="116"/>
      <c r="G571" s="111"/>
      <c r="H571" s="98"/>
      <c r="I571" s="99"/>
      <c r="J571" s="100"/>
      <c r="K571" s="101"/>
      <c r="M571" s="99"/>
      <c r="N571" s="100"/>
      <c r="O571" s="102"/>
      <c r="Q571" s="103"/>
      <c r="R571" s="100"/>
      <c r="S571" s="102"/>
      <c r="U571" s="100"/>
      <c r="V571" s="100"/>
      <c r="X571" s="104"/>
      <c r="Z571" s="100"/>
    </row>
    <row r="572" spans="4:26" ht="14.25" customHeight="1" x14ac:dyDescent="0.25">
      <c r="D572" s="116"/>
      <c r="G572" s="111"/>
      <c r="H572" s="98"/>
      <c r="I572" s="99"/>
      <c r="J572" s="100"/>
      <c r="K572" s="101"/>
      <c r="M572" s="99"/>
      <c r="N572" s="100"/>
      <c r="O572" s="102"/>
      <c r="Q572" s="103"/>
      <c r="R572" s="100"/>
      <c r="S572" s="102"/>
      <c r="U572" s="100"/>
      <c r="V572" s="100"/>
      <c r="X572" s="104"/>
      <c r="Z572" s="100"/>
    </row>
    <row r="573" spans="4:26" ht="14.25" customHeight="1" x14ac:dyDescent="0.25">
      <c r="D573" s="116"/>
      <c r="G573" s="111"/>
      <c r="H573" s="98"/>
      <c r="I573" s="99"/>
      <c r="J573" s="100"/>
      <c r="K573" s="101"/>
      <c r="M573" s="99"/>
      <c r="N573" s="100"/>
      <c r="O573" s="102"/>
      <c r="Q573" s="103"/>
      <c r="R573" s="100"/>
      <c r="S573" s="102"/>
      <c r="U573" s="100"/>
      <c r="V573" s="100"/>
      <c r="X573" s="104"/>
      <c r="Z573" s="100"/>
    </row>
    <row r="574" spans="4:26" ht="14.25" customHeight="1" x14ac:dyDescent="0.25">
      <c r="D574" s="116"/>
      <c r="G574" s="111"/>
      <c r="H574" s="98"/>
      <c r="I574" s="99"/>
      <c r="J574" s="100"/>
      <c r="K574" s="101"/>
      <c r="M574" s="99"/>
      <c r="N574" s="100"/>
      <c r="O574" s="102"/>
      <c r="Q574" s="103"/>
      <c r="R574" s="100"/>
      <c r="S574" s="102"/>
      <c r="U574" s="100"/>
      <c r="V574" s="100"/>
      <c r="X574" s="104"/>
      <c r="Z574" s="100"/>
    </row>
    <row r="575" spans="4:26" ht="14.25" customHeight="1" x14ac:dyDescent="0.25">
      <c r="D575" s="116"/>
      <c r="G575" s="111"/>
      <c r="H575" s="98"/>
      <c r="I575" s="99"/>
      <c r="J575" s="100"/>
      <c r="K575" s="101"/>
      <c r="M575" s="99"/>
      <c r="N575" s="100"/>
      <c r="O575" s="102"/>
      <c r="Q575" s="103"/>
      <c r="R575" s="100"/>
      <c r="S575" s="102"/>
      <c r="U575" s="100"/>
      <c r="V575" s="100"/>
      <c r="X575" s="104"/>
      <c r="Z575" s="100"/>
    </row>
    <row r="576" spans="4:26" ht="14.25" customHeight="1" x14ac:dyDescent="0.25">
      <c r="D576" s="116"/>
      <c r="G576" s="111"/>
      <c r="H576" s="98"/>
      <c r="I576" s="99"/>
      <c r="J576" s="100"/>
      <c r="K576" s="101"/>
      <c r="M576" s="99"/>
      <c r="N576" s="100"/>
      <c r="O576" s="102"/>
      <c r="Q576" s="103"/>
      <c r="R576" s="100"/>
      <c r="S576" s="102"/>
      <c r="U576" s="100"/>
      <c r="V576" s="100"/>
      <c r="X576" s="104"/>
      <c r="Z576" s="100"/>
    </row>
    <row r="577" spans="4:26" ht="14.25" customHeight="1" x14ac:dyDescent="0.25">
      <c r="D577" s="116"/>
      <c r="G577" s="111"/>
      <c r="H577" s="98"/>
      <c r="I577" s="99"/>
      <c r="J577" s="100"/>
      <c r="K577" s="101"/>
      <c r="M577" s="99"/>
      <c r="N577" s="100"/>
      <c r="O577" s="102"/>
      <c r="Q577" s="103"/>
      <c r="R577" s="100"/>
      <c r="S577" s="102"/>
      <c r="U577" s="100"/>
      <c r="V577" s="100"/>
      <c r="X577" s="104"/>
      <c r="Z577" s="100"/>
    </row>
    <row r="578" spans="4:26" ht="14.25" customHeight="1" x14ac:dyDescent="0.25">
      <c r="D578" s="116"/>
      <c r="G578" s="111"/>
      <c r="H578" s="98"/>
      <c r="I578" s="99"/>
      <c r="J578" s="100"/>
      <c r="K578" s="101"/>
      <c r="M578" s="99"/>
      <c r="N578" s="100"/>
      <c r="O578" s="102"/>
      <c r="Q578" s="103"/>
      <c r="R578" s="100"/>
      <c r="S578" s="102"/>
      <c r="U578" s="100"/>
      <c r="V578" s="100"/>
      <c r="X578" s="104"/>
      <c r="Z578" s="100"/>
    </row>
    <row r="579" spans="4:26" ht="14.25" customHeight="1" x14ac:dyDescent="0.25">
      <c r="D579" s="116"/>
      <c r="G579" s="111"/>
      <c r="H579" s="98"/>
      <c r="I579" s="99"/>
      <c r="J579" s="100"/>
      <c r="K579" s="101"/>
      <c r="M579" s="99"/>
      <c r="N579" s="100"/>
      <c r="O579" s="102"/>
      <c r="Q579" s="103"/>
      <c r="R579" s="100"/>
      <c r="S579" s="102"/>
      <c r="U579" s="100"/>
      <c r="V579" s="100"/>
      <c r="X579" s="104"/>
      <c r="Z579" s="100"/>
    </row>
    <row r="580" spans="4:26" ht="14.25" customHeight="1" x14ac:dyDescent="0.25">
      <c r="D580" s="116"/>
      <c r="G580" s="111"/>
      <c r="H580" s="98"/>
      <c r="I580" s="99"/>
      <c r="J580" s="100"/>
      <c r="K580" s="101"/>
      <c r="M580" s="99"/>
      <c r="N580" s="100"/>
      <c r="O580" s="102"/>
      <c r="Q580" s="103"/>
      <c r="R580" s="100"/>
      <c r="S580" s="102"/>
      <c r="U580" s="100"/>
      <c r="V580" s="100"/>
      <c r="X580" s="104"/>
      <c r="Z580" s="100"/>
    </row>
    <row r="581" spans="4:26" ht="14.25" customHeight="1" x14ac:dyDescent="0.25">
      <c r="D581" s="116"/>
      <c r="G581" s="111"/>
      <c r="H581" s="98"/>
      <c r="I581" s="99"/>
      <c r="J581" s="100"/>
      <c r="K581" s="101"/>
      <c r="M581" s="99"/>
      <c r="N581" s="100"/>
      <c r="O581" s="102"/>
      <c r="Q581" s="103"/>
      <c r="R581" s="100"/>
      <c r="S581" s="102"/>
      <c r="U581" s="100"/>
      <c r="V581" s="100"/>
      <c r="X581" s="104"/>
      <c r="Z581" s="100"/>
    </row>
    <row r="582" spans="4:26" ht="14.25" customHeight="1" x14ac:dyDescent="0.25">
      <c r="D582" s="116"/>
      <c r="G582" s="111"/>
      <c r="H582" s="98"/>
      <c r="I582" s="99"/>
      <c r="J582" s="100"/>
      <c r="K582" s="101"/>
      <c r="M582" s="99"/>
      <c r="N582" s="100"/>
      <c r="O582" s="102"/>
      <c r="Q582" s="103"/>
      <c r="R582" s="100"/>
      <c r="S582" s="102"/>
      <c r="U582" s="100"/>
      <c r="V582" s="100"/>
      <c r="X582" s="104"/>
      <c r="Z582" s="100"/>
    </row>
    <row r="583" spans="4:26" ht="14.25" customHeight="1" x14ac:dyDescent="0.25">
      <c r="D583" s="116"/>
      <c r="G583" s="111"/>
      <c r="H583" s="98"/>
      <c r="I583" s="99"/>
      <c r="J583" s="100"/>
      <c r="K583" s="101"/>
      <c r="M583" s="99"/>
      <c r="N583" s="100"/>
      <c r="O583" s="102"/>
      <c r="Q583" s="103"/>
      <c r="R583" s="100"/>
      <c r="S583" s="102"/>
      <c r="U583" s="100"/>
      <c r="V583" s="100"/>
      <c r="X583" s="104"/>
      <c r="Z583" s="100"/>
    </row>
    <row r="584" spans="4:26" ht="14.25" customHeight="1" x14ac:dyDescent="0.25">
      <c r="D584" s="116"/>
      <c r="G584" s="111"/>
      <c r="H584" s="98"/>
      <c r="I584" s="99"/>
      <c r="J584" s="100"/>
      <c r="K584" s="101"/>
      <c r="M584" s="99"/>
      <c r="N584" s="100"/>
      <c r="O584" s="102"/>
      <c r="Q584" s="103"/>
      <c r="R584" s="100"/>
      <c r="S584" s="102"/>
      <c r="U584" s="100"/>
      <c r="V584" s="100"/>
      <c r="X584" s="104"/>
      <c r="Z584" s="100"/>
    </row>
    <row r="585" spans="4:26" ht="14.25" customHeight="1" x14ac:dyDescent="0.25">
      <c r="D585" s="116"/>
      <c r="G585" s="111"/>
      <c r="H585" s="98"/>
      <c r="I585" s="99"/>
      <c r="J585" s="100"/>
      <c r="K585" s="101"/>
      <c r="M585" s="99"/>
      <c r="N585" s="100"/>
      <c r="O585" s="102"/>
      <c r="Q585" s="103"/>
      <c r="R585" s="100"/>
      <c r="S585" s="102"/>
      <c r="U585" s="100"/>
      <c r="V585" s="100"/>
      <c r="X585" s="104"/>
      <c r="Z585" s="100"/>
    </row>
    <row r="586" spans="4:26" ht="14.25" customHeight="1" x14ac:dyDescent="0.25">
      <c r="D586" s="116"/>
      <c r="G586" s="111"/>
      <c r="H586" s="98"/>
      <c r="I586" s="99"/>
      <c r="J586" s="100"/>
      <c r="K586" s="101"/>
      <c r="M586" s="99"/>
      <c r="N586" s="100"/>
      <c r="O586" s="102"/>
      <c r="Q586" s="103"/>
      <c r="R586" s="100"/>
      <c r="S586" s="102"/>
      <c r="U586" s="100"/>
      <c r="V586" s="100"/>
      <c r="X586" s="104"/>
      <c r="Z586" s="100"/>
    </row>
    <row r="587" spans="4:26" ht="14.25" customHeight="1" x14ac:dyDescent="0.25">
      <c r="D587" s="116"/>
      <c r="G587" s="111"/>
      <c r="H587" s="98"/>
      <c r="I587" s="99"/>
      <c r="J587" s="100"/>
      <c r="K587" s="101"/>
      <c r="M587" s="99"/>
      <c r="N587" s="100"/>
      <c r="O587" s="102"/>
      <c r="Q587" s="103"/>
      <c r="R587" s="100"/>
      <c r="S587" s="102"/>
      <c r="U587" s="100"/>
      <c r="V587" s="100"/>
      <c r="X587" s="104"/>
      <c r="Z587" s="100"/>
    </row>
    <row r="588" spans="4:26" ht="14.25" customHeight="1" x14ac:dyDescent="0.25">
      <c r="D588" s="116"/>
      <c r="G588" s="111"/>
      <c r="H588" s="98"/>
      <c r="I588" s="99"/>
      <c r="J588" s="100"/>
      <c r="K588" s="101"/>
      <c r="M588" s="99"/>
      <c r="N588" s="100"/>
      <c r="O588" s="102"/>
      <c r="Q588" s="103"/>
      <c r="R588" s="100"/>
      <c r="S588" s="102"/>
      <c r="U588" s="100"/>
      <c r="V588" s="100"/>
      <c r="X588" s="104"/>
      <c r="Z588" s="100"/>
    </row>
    <row r="589" spans="4:26" ht="14.25" customHeight="1" x14ac:dyDescent="0.25">
      <c r="D589" s="116"/>
      <c r="G589" s="111"/>
      <c r="H589" s="98"/>
      <c r="I589" s="99"/>
      <c r="J589" s="100"/>
      <c r="K589" s="101"/>
      <c r="M589" s="99"/>
      <c r="N589" s="100"/>
      <c r="O589" s="102"/>
      <c r="Q589" s="103"/>
      <c r="R589" s="100"/>
      <c r="S589" s="102"/>
      <c r="U589" s="100"/>
      <c r="V589" s="100"/>
      <c r="X589" s="104"/>
      <c r="Z589" s="100"/>
    </row>
    <row r="590" spans="4:26" ht="14.25" customHeight="1" x14ac:dyDescent="0.25">
      <c r="D590" s="116"/>
      <c r="G590" s="111"/>
      <c r="H590" s="98"/>
      <c r="I590" s="99"/>
      <c r="J590" s="100"/>
      <c r="K590" s="101"/>
      <c r="M590" s="99"/>
      <c r="N590" s="100"/>
      <c r="O590" s="102"/>
      <c r="Q590" s="103"/>
      <c r="R590" s="100"/>
      <c r="S590" s="102"/>
      <c r="U590" s="100"/>
      <c r="V590" s="100"/>
      <c r="X590" s="104"/>
      <c r="Z590" s="100"/>
    </row>
    <row r="591" spans="4:26" ht="14.25" customHeight="1" x14ac:dyDescent="0.25">
      <c r="D591" s="116"/>
      <c r="G591" s="111"/>
      <c r="H591" s="98"/>
      <c r="I591" s="99"/>
      <c r="J591" s="100"/>
      <c r="K591" s="101"/>
      <c r="M591" s="99"/>
      <c r="N591" s="100"/>
      <c r="O591" s="102"/>
      <c r="Q591" s="103"/>
      <c r="R591" s="100"/>
      <c r="S591" s="102"/>
      <c r="U591" s="100"/>
      <c r="V591" s="100"/>
      <c r="X591" s="104"/>
      <c r="Z591" s="100"/>
    </row>
    <row r="592" spans="4:26" ht="14.25" customHeight="1" x14ac:dyDescent="0.25">
      <c r="D592" s="116"/>
      <c r="G592" s="111"/>
      <c r="H592" s="98"/>
      <c r="I592" s="99"/>
      <c r="J592" s="100"/>
      <c r="K592" s="101"/>
      <c r="M592" s="99"/>
      <c r="N592" s="100"/>
      <c r="O592" s="102"/>
      <c r="Q592" s="103"/>
      <c r="R592" s="100"/>
      <c r="S592" s="102"/>
      <c r="U592" s="100"/>
      <c r="V592" s="100"/>
      <c r="X592" s="104"/>
      <c r="Z592" s="100"/>
    </row>
    <row r="593" spans="4:26" ht="14.25" customHeight="1" x14ac:dyDescent="0.25">
      <c r="D593" s="116"/>
      <c r="G593" s="111"/>
      <c r="H593" s="98"/>
      <c r="I593" s="99"/>
      <c r="J593" s="100"/>
      <c r="K593" s="101"/>
      <c r="M593" s="99"/>
      <c r="N593" s="100"/>
      <c r="O593" s="102"/>
      <c r="Q593" s="103"/>
      <c r="R593" s="100"/>
      <c r="S593" s="102"/>
      <c r="U593" s="100"/>
      <c r="V593" s="100"/>
      <c r="X593" s="104"/>
      <c r="Z593" s="100"/>
    </row>
    <row r="594" spans="4:26" ht="14.25" customHeight="1" x14ac:dyDescent="0.25">
      <c r="D594" s="116"/>
      <c r="G594" s="111"/>
      <c r="H594" s="98"/>
      <c r="I594" s="99"/>
      <c r="J594" s="100"/>
      <c r="K594" s="101"/>
      <c r="M594" s="99"/>
      <c r="N594" s="100"/>
      <c r="O594" s="102"/>
      <c r="Q594" s="103"/>
      <c r="R594" s="100"/>
      <c r="S594" s="102"/>
      <c r="U594" s="100"/>
      <c r="V594" s="100"/>
      <c r="X594" s="104"/>
      <c r="Z594" s="100"/>
    </row>
    <row r="595" spans="4:26" ht="14.25" customHeight="1" x14ac:dyDescent="0.25">
      <c r="D595" s="116"/>
      <c r="G595" s="111"/>
      <c r="H595" s="98"/>
      <c r="I595" s="99"/>
      <c r="J595" s="100"/>
      <c r="K595" s="101"/>
      <c r="M595" s="99"/>
      <c r="N595" s="100"/>
      <c r="O595" s="102"/>
      <c r="Q595" s="103"/>
      <c r="R595" s="100"/>
      <c r="S595" s="102"/>
      <c r="U595" s="100"/>
      <c r="V595" s="100"/>
      <c r="X595" s="104"/>
      <c r="Z595" s="100"/>
    </row>
    <row r="596" spans="4:26" ht="14.25" customHeight="1" x14ac:dyDescent="0.25">
      <c r="D596" s="116"/>
      <c r="G596" s="111"/>
      <c r="H596" s="98"/>
      <c r="I596" s="99"/>
      <c r="J596" s="100"/>
      <c r="K596" s="101"/>
      <c r="M596" s="99"/>
      <c r="N596" s="100"/>
      <c r="O596" s="102"/>
      <c r="Q596" s="103"/>
      <c r="R596" s="100"/>
      <c r="S596" s="102"/>
      <c r="U596" s="100"/>
      <c r="V596" s="100"/>
      <c r="X596" s="104"/>
      <c r="Z596" s="100"/>
    </row>
    <row r="597" spans="4:26" ht="14.25" customHeight="1" x14ac:dyDescent="0.25">
      <c r="D597" s="116"/>
      <c r="G597" s="111"/>
      <c r="H597" s="98"/>
      <c r="I597" s="99"/>
      <c r="J597" s="100"/>
      <c r="K597" s="101"/>
      <c r="M597" s="99"/>
      <c r="N597" s="100"/>
      <c r="O597" s="102"/>
      <c r="Q597" s="103"/>
      <c r="R597" s="100"/>
      <c r="S597" s="102"/>
      <c r="U597" s="100"/>
      <c r="V597" s="100"/>
      <c r="X597" s="104"/>
      <c r="Z597" s="100"/>
    </row>
    <row r="598" spans="4:26" ht="14.25" customHeight="1" x14ac:dyDescent="0.25">
      <c r="D598" s="116"/>
      <c r="G598" s="111"/>
      <c r="H598" s="98"/>
      <c r="I598" s="99"/>
      <c r="J598" s="100"/>
      <c r="K598" s="101"/>
      <c r="M598" s="99"/>
      <c r="N598" s="100"/>
      <c r="O598" s="102"/>
      <c r="Q598" s="103"/>
      <c r="R598" s="100"/>
      <c r="S598" s="102"/>
      <c r="U598" s="100"/>
      <c r="V598" s="100"/>
      <c r="X598" s="104"/>
      <c r="Z598" s="100"/>
    </row>
    <row r="599" spans="4:26" ht="14.25" customHeight="1" x14ac:dyDescent="0.25">
      <c r="D599" s="116"/>
      <c r="G599" s="111"/>
      <c r="H599" s="98"/>
      <c r="I599" s="99"/>
      <c r="J599" s="100"/>
      <c r="K599" s="101"/>
      <c r="M599" s="99"/>
      <c r="N599" s="100"/>
      <c r="O599" s="102"/>
      <c r="Q599" s="103"/>
      <c r="R599" s="100"/>
      <c r="S599" s="102"/>
      <c r="U599" s="100"/>
      <c r="V599" s="100"/>
      <c r="X599" s="104"/>
      <c r="Z599" s="100"/>
    </row>
    <row r="600" spans="4:26" ht="14.25" customHeight="1" x14ac:dyDescent="0.25">
      <c r="D600" s="116"/>
      <c r="G600" s="111"/>
      <c r="H600" s="98"/>
      <c r="I600" s="99"/>
      <c r="J600" s="100"/>
      <c r="K600" s="101"/>
      <c r="M600" s="99"/>
      <c r="N600" s="100"/>
      <c r="O600" s="102"/>
      <c r="Q600" s="103"/>
      <c r="R600" s="100"/>
      <c r="S600" s="102"/>
      <c r="U600" s="100"/>
      <c r="V600" s="100"/>
      <c r="X600" s="104"/>
      <c r="Z600" s="100"/>
    </row>
    <row r="601" spans="4:26" ht="14.25" customHeight="1" x14ac:dyDescent="0.25">
      <c r="D601" s="116"/>
      <c r="G601" s="111"/>
      <c r="H601" s="98"/>
      <c r="I601" s="99"/>
      <c r="J601" s="100"/>
      <c r="K601" s="101"/>
      <c r="M601" s="99"/>
      <c r="N601" s="100"/>
      <c r="O601" s="102"/>
      <c r="Q601" s="103"/>
      <c r="R601" s="100"/>
      <c r="S601" s="102"/>
      <c r="U601" s="100"/>
      <c r="V601" s="100"/>
      <c r="X601" s="104"/>
      <c r="Z601" s="100"/>
    </row>
    <row r="602" spans="4:26" ht="14.25" customHeight="1" x14ac:dyDescent="0.25">
      <c r="D602" s="116"/>
      <c r="G602" s="111"/>
      <c r="H602" s="98"/>
      <c r="I602" s="99"/>
      <c r="J602" s="100"/>
      <c r="K602" s="101"/>
      <c r="M602" s="99"/>
      <c r="N602" s="100"/>
      <c r="O602" s="102"/>
      <c r="Q602" s="103"/>
      <c r="R602" s="100"/>
      <c r="S602" s="102"/>
      <c r="U602" s="100"/>
      <c r="V602" s="100"/>
      <c r="X602" s="104"/>
      <c r="Z602" s="100"/>
    </row>
    <row r="603" spans="4:26" ht="14.25" customHeight="1" x14ac:dyDescent="0.25">
      <c r="D603" s="116"/>
      <c r="G603" s="111"/>
      <c r="H603" s="98"/>
      <c r="I603" s="99"/>
      <c r="J603" s="100"/>
      <c r="K603" s="101"/>
      <c r="M603" s="99"/>
      <c r="N603" s="100"/>
      <c r="O603" s="102"/>
      <c r="Q603" s="103"/>
      <c r="R603" s="100"/>
      <c r="S603" s="102"/>
      <c r="U603" s="100"/>
      <c r="V603" s="100"/>
      <c r="X603" s="104"/>
      <c r="Z603" s="100"/>
    </row>
    <row r="604" spans="4:26" ht="14.25" customHeight="1" x14ac:dyDescent="0.25">
      <c r="D604" s="116"/>
      <c r="G604" s="111"/>
      <c r="H604" s="98"/>
      <c r="I604" s="99"/>
      <c r="J604" s="100"/>
      <c r="K604" s="101"/>
      <c r="M604" s="99"/>
      <c r="N604" s="100"/>
      <c r="O604" s="102"/>
      <c r="Q604" s="103"/>
      <c r="R604" s="100"/>
      <c r="S604" s="102"/>
      <c r="U604" s="100"/>
      <c r="V604" s="100"/>
      <c r="X604" s="104"/>
      <c r="Z604" s="100"/>
    </row>
    <row r="605" spans="4:26" ht="14.25" customHeight="1" x14ac:dyDescent="0.25">
      <c r="D605" s="116"/>
      <c r="G605" s="111"/>
      <c r="H605" s="98"/>
      <c r="I605" s="99"/>
      <c r="J605" s="100"/>
      <c r="K605" s="101"/>
      <c r="M605" s="99"/>
      <c r="N605" s="100"/>
      <c r="O605" s="102"/>
      <c r="Q605" s="103"/>
      <c r="R605" s="100"/>
      <c r="S605" s="102"/>
      <c r="U605" s="100"/>
      <c r="V605" s="100"/>
      <c r="X605" s="104"/>
      <c r="Z605" s="100"/>
    </row>
    <row r="606" spans="4:26" ht="14.25" customHeight="1" x14ac:dyDescent="0.25">
      <c r="D606" s="116"/>
      <c r="G606" s="111"/>
      <c r="H606" s="98"/>
      <c r="I606" s="99"/>
      <c r="J606" s="100"/>
      <c r="K606" s="101"/>
      <c r="M606" s="99"/>
      <c r="N606" s="100"/>
      <c r="O606" s="102"/>
      <c r="Q606" s="103"/>
      <c r="R606" s="100"/>
      <c r="S606" s="102"/>
      <c r="U606" s="100"/>
      <c r="V606" s="100"/>
      <c r="X606" s="104"/>
      <c r="Z606" s="100"/>
    </row>
    <row r="607" spans="4:26" ht="14.25" customHeight="1" x14ac:dyDescent="0.25">
      <c r="D607" s="116"/>
      <c r="G607" s="111"/>
      <c r="H607" s="98"/>
      <c r="I607" s="99"/>
      <c r="J607" s="100"/>
      <c r="K607" s="101"/>
      <c r="M607" s="99"/>
      <c r="N607" s="100"/>
      <c r="O607" s="102"/>
      <c r="Q607" s="103"/>
      <c r="R607" s="100"/>
      <c r="S607" s="102"/>
      <c r="U607" s="100"/>
      <c r="V607" s="100"/>
      <c r="X607" s="104"/>
      <c r="Z607" s="100"/>
    </row>
    <row r="608" spans="4:26" ht="14.25" customHeight="1" x14ac:dyDescent="0.25">
      <c r="D608" s="116"/>
      <c r="G608" s="111"/>
      <c r="H608" s="98"/>
      <c r="I608" s="99"/>
      <c r="J608" s="100"/>
      <c r="K608" s="101"/>
      <c r="M608" s="99"/>
      <c r="N608" s="100"/>
      <c r="O608" s="102"/>
      <c r="Q608" s="103"/>
      <c r="R608" s="100"/>
      <c r="S608" s="102"/>
      <c r="U608" s="100"/>
      <c r="V608" s="100"/>
      <c r="X608" s="104"/>
      <c r="Z608" s="100"/>
    </row>
    <row r="609" spans="4:26" ht="14.25" customHeight="1" x14ac:dyDescent="0.25">
      <c r="D609" s="116"/>
      <c r="G609" s="111"/>
      <c r="H609" s="98"/>
      <c r="I609" s="99"/>
      <c r="J609" s="100"/>
      <c r="K609" s="101"/>
      <c r="M609" s="99"/>
      <c r="N609" s="100"/>
      <c r="O609" s="102"/>
      <c r="Q609" s="103"/>
      <c r="R609" s="100"/>
      <c r="S609" s="102"/>
      <c r="U609" s="100"/>
      <c r="V609" s="100"/>
      <c r="X609" s="104"/>
      <c r="Z609" s="100"/>
    </row>
    <row r="610" spans="4:26" ht="14.25" customHeight="1" x14ac:dyDescent="0.25">
      <c r="D610" s="116"/>
      <c r="G610" s="111"/>
      <c r="H610" s="98"/>
      <c r="I610" s="99"/>
      <c r="J610" s="100"/>
      <c r="K610" s="101"/>
      <c r="M610" s="99"/>
      <c r="N610" s="100"/>
      <c r="O610" s="102"/>
      <c r="Q610" s="103"/>
      <c r="R610" s="100"/>
      <c r="S610" s="102"/>
      <c r="U610" s="100"/>
      <c r="V610" s="100"/>
      <c r="X610" s="104"/>
      <c r="Z610" s="100"/>
    </row>
    <row r="611" spans="4:26" ht="14.25" customHeight="1" x14ac:dyDescent="0.25">
      <c r="D611" s="116"/>
      <c r="G611" s="111"/>
      <c r="H611" s="98"/>
      <c r="I611" s="99"/>
      <c r="J611" s="100"/>
      <c r="K611" s="101"/>
      <c r="M611" s="99"/>
      <c r="N611" s="100"/>
      <c r="O611" s="102"/>
      <c r="Q611" s="103"/>
      <c r="R611" s="100"/>
      <c r="S611" s="102"/>
      <c r="U611" s="100"/>
      <c r="V611" s="100"/>
      <c r="X611" s="104"/>
      <c r="Z611" s="100"/>
    </row>
    <row r="612" spans="4:26" ht="14.25" customHeight="1" x14ac:dyDescent="0.25">
      <c r="D612" s="116"/>
      <c r="G612" s="111"/>
      <c r="H612" s="98"/>
      <c r="I612" s="99"/>
      <c r="J612" s="100"/>
      <c r="K612" s="101"/>
      <c r="M612" s="99"/>
      <c r="N612" s="100"/>
      <c r="O612" s="102"/>
      <c r="Q612" s="103"/>
      <c r="R612" s="100"/>
      <c r="S612" s="102"/>
      <c r="U612" s="100"/>
      <c r="V612" s="100"/>
      <c r="X612" s="104"/>
      <c r="Z612" s="100"/>
    </row>
    <row r="613" spans="4:26" ht="14.25" customHeight="1" x14ac:dyDescent="0.25">
      <c r="D613" s="116"/>
      <c r="G613" s="111"/>
      <c r="H613" s="98"/>
      <c r="I613" s="99"/>
      <c r="J613" s="100"/>
      <c r="K613" s="101"/>
      <c r="M613" s="99"/>
      <c r="N613" s="100"/>
      <c r="O613" s="102"/>
      <c r="Q613" s="103"/>
      <c r="R613" s="100"/>
      <c r="S613" s="102"/>
      <c r="U613" s="100"/>
      <c r="V613" s="100"/>
      <c r="X613" s="104"/>
      <c r="Z613" s="100"/>
    </row>
    <row r="614" spans="4:26" ht="14.25" customHeight="1" x14ac:dyDescent="0.25">
      <c r="D614" s="116"/>
      <c r="G614" s="111"/>
      <c r="H614" s="98"/>
      <c r="I614" s="99"/>
      <c r="J614" s="100"/>
      <c r="K614" s="101"/>
      <c r="M614" s="99"/>
      <c r="N614" s="100"/>
      <c r="O614" s="102"/>
      <c r="Q614" s="103"/>
      <c r="R614" s="100"/>
      <c r="S614" s="102"/>
      <c r="U614" s="100"/>
      <c r="V614" s="100"/>
      <c r="X614" s="104"/>
      <c r="Z614" s="100"/>
    </row>
    <row r="615" spans="4:26" ht="14.25" customHeight="1" x14ac:dyDescent="0.25">
      <c r="D615" s="116"/>
      <c r="G615" s="111"/>
      <c r="H615" s="98"/>
      <c r="I615" s="99"/>
      <c r="J615" s="100"/>
      <c r="K615" s="101"/>
      <c r="M615" s="99"/>
      <c r="N615" s="100"/>
      <c r="O615" s="102"/>
      <c r="Q615" s="103"/>
      <c r="R615" s="100"/>
      <c r="S615" s="102"/>
      <c r="U615" s="100"/>
      <c r="V615" s="100"/>
      <c r="X615" s="104"/>
      <c r="Z615" s="100"/>
    </row>
    <row r="616" spans="4:26" ht="14.25" customHeight="1" x14ac:dyDescent="0.25">
      <c r="D616" s="116"/>
      <c r="G616" s="111"/>
      <c r="H616" s="98"/>
      <c r="I616" s="99"/>
      <c r="J616" s="100"/>
      <c r="K616" s="101"/>
      <c r="M616" s="99"/>
      <c r="N616" s="100"/>
      <c r="O616" s="102"/>
      <c r="Q616" s="103"/>
      <c r="R616" s="100"/>
      <c r="S616" s="102"/>
      <c r="U616" s="100"/>
      <c r="V616" s="100"/>
      <c r="X616" s="104"/>
      <c r="Z616" s="100"/>
    </row>
    <row r="617" spans="4:26" ht="14.25" customHeight="1" x14ac:dyDescent="0.25">
      <c r="D617" s="116"/>
      <c r="G617" s="111"/>
      <c r="H617" s="98"/>
      <c r="I617" s="99"/>
      <c r="J617" s="100"/>
      <c r="K617" s="101"/>
      <c r="M617" s="99"/>
      <c r="N617" s="100"/>
      <c r="O617" s="102"/>
      <c r="Q617" s="103"/>
      <c r="R617" s="100"/>
      <c r="S617" s="102"/>
      <c r="U617" s="100"/>
      <c r="V617" s="100"/>
      <c r="X617" s="104"/>
      <c r="Z617" s="100"/>
    </row>
    <row r="618" spans="4:26" ht="14.25" customHeight="1" x14ac:dyDescent="0.25">
      <c r="D618" s="116"/>
      <c r="G618" s="111"/>
      <c r="H618" s="98"/>
      <c r="I618" s="99"/>
      <c r="J618" s="100"/>
      <c r="K618" s="101"/>
      <c r="M618" s="99"/>
      <c r="N618" s="100"/>
      <c r="O618" s="102"/>
      <c r="Q618" s="103"/>
      <c r="R618" s="100"/>
      <c r="S618" s="102"/>
      <c r="U618" s="100"/>
      <c r="V618" s="100"/>
      <c r="X618" s="104"/>
      <c r="Z618" s="100"/>
    </row>
    <row r="619" spans="4:26" ht="14.25" customHeight="1" x14ac:dyDescent="0.25">
      <c r="D619" s="116"/>
      <c r="G619" s="111"/>
      <c r="H619" s="98"/>
      <c r="I619" s="99"/>
      <c r="J619" s="100"/>
      <c r="K619" s="101"/>
      <c r="M619" s="99"/>
      <c r="N619" s="100"/>
      <c r="O619" s="102"/>
      <c r="Q619" s="103"/>
      <c r="R619" s="100"/>
      <c r="S619" s="102"/>
      <c r="U619" s="100"/>
      <c r="V619" s="100"/>
      <c r="X619" s="104"/>
      <c r="Z619" s="100"/>
    </row>
    <row r="620" spans="4:26" ht="14.25" customHeight="1" x14ac:dyDescent="0.25">
      <c r="D620" s="116"/>
      <c r="G620" s="111"/>
      <c r="H620" s="98"/>
      <c r="I620" s="99"/>
      <c r="J620" s="100"/>
      <c r="K620" s="101"/>
      <c r="M620" s="99"/>
      <c r="N620" s="100"/>
      <c r="O620" s="102"/>
      <c r="Q620" s="103"/>
      <c r="R620" s="100"/>
      <c r="S620" s="102"/>
      <c r="U620" s="100"/>
      <c r="V620" s="100"/>
      <c r="X620" s="104"/>
      <c r="Z620" s="100"/>
    </row>
    <row r="621" spans="4:26" ht="14.25" customHeight="1" x14ac:dyDescent="0.25">
      <c r="D621" s="116"/>
      <c r="G621" s="111"/>
      <c r="H621" s="98"/>
      <c r="I621" s="99"/>
      <c r="J621" s="100"/>
      <c r="K621" s="101"/>
      <c r="M621" s="99"/>
      <c r="N621" s="100"/>
      <c r="O621" s="102"/>
      <c r="Q621" s="103"/>
      <c r="R621" s="100"/>
      <c r="S621" s="102"/>
      <c r="U621" s="100"/>
      <c r="V621" s="100"/>
      <c r="X621" s="104"/>
      <c r="Z621" s="100"/>
    </row>
    <row r="622" spans="4:26" ht="14.25" customHeight="1" x14ac:dyDescent="0.25">
      <c r="D622" s="116"/>
      <c r="G622" s="111"/>
      <c r="H622" s="98"/>
      <c r="I622" s="99"/>
      <c r="J622" s="100"/>
      <c r="K622" s="101"/>
      <c r="M622" s="99"/>
      <c r="N622" s="100"/>
      <c r="O622" s="102"/>
      <c r="Q622" s="103"/>
      <c r="R622" s="100"/>
      <c r="S622" s="102"/>
      <c r="U622" s="100"/>
      <c r="V622" s="100"/>
      <c r="X622" s="104"/>
      <c r="Z622" s="100"/>
    </row>
    <row r="623" spans="4:26" ht="14.25" customHeight="1" x14ac:dyDescent="0.25">
      <c r="D623" s="116"/>
      <c r="G623" s="111"/>
      <c r="H623" s="98"/>
      <c r="I623" s="99"/>
      <c r="J623" s="100"/>
      <c r="K623" s="101"/>
      <c r="M623" s="99"/>
      <c r="N623" s="100"/>
      <c r="O623" s="102"/>
      <c r="Q623" s="103"/>
      <c r="R623" s="100"/>
      <c r="S623" s="102"/>
      <c r="U623" s="100"/>
      <c r="V623" s="100"/>
      <c r="X623" s="104"/>
      <c r="Z623" s="100"/>
    </row>
    <row r="624" spans="4:26" ht="14.25" customHeight="1" x14ac:dyDescent="0.25">
      <c r="D624" s="116"/>
      <c r="G624" s="111"/>
      <c r="H624" s="98"/>
      <c r="I624" s="99"/>
      <c r="J624" s="100"/>
      <c r="K624" s="101"/>
      <c r="M624" s="99"/>
      <c r="N624" s="100"/>
      <c r="O624" s="102"/>
      <c r="Q624" s="103"/>
      <c r="R624" s="100"/>
      <c r="S624" s="102"/>
      <c r="U624" s="100"/>
      <c r="V624" s="100"/>
      <c r="X624" s="104"/>
      <c r="Z624" s="100"/>
    </row>
    <row r="625" spans="4:26" ht="14.25" customHeight="1" x14ac:dyDescent="0.25">
      <c r="D625" s="116"/>
      <c r="G625" s="111"/>
      <c r="H625" s="98"/>
      <c r="I625" s="99"/>
      <c r="J625" s="100"/>
      <c r="K625" s="101"/>
      <c r="M625" s="99"/>
      <c r="N625" s="100"/>
      <c r="O625" s="102"/>
      <c r="Q625" s="103"/>
      <c r="R625" s="100"/>
      <c r="S625" s="102"/>
      <c r="U625" s="100"/>
      <c r="V625" s="100"/>
      <c r="X625" s="104"/>
      <c r="Z625" s="100"/>
    </row>
    <row r="626" spans="4:26" ht="14.25" customHeight="1" x14ac:dyDescent="0.25">
      <c r="D626" s="116"/>
      <c r="G626" s="111"/>
      <c r="H626" s="98"/>
      <c r="I626" s="99"/>
      <c r="J626" s="100"/>
      <c r="K626" s="101"/>
      <c r="M626" s="99"/>
      <c r="N626" s="100"/>
      <c r="O626" s="102"/>
      <c r="Q626" s="103"/>
      <c r="R626" s="100"/>
      <c r="S626" s="102"/>
      <c r="U626" s="100"/>
      <c r="V626" s="100"/>
      <c r="X626" s="104"/>
      <c r="Z626" s="100"/>
    </row>
    <row r="627" spans="4:26" ht="14.25" customHeight="1" x14ac:dyDescent="0.25">
      <c r="D627" s="116"/>
      <c r="G627" s="111"/>
      <c r="H627" s="98"/>
      <c r="I627" s="99"/>
      <c r="J627" s="100"/>
      <c r="K627" s="101"/>
      <c r="M627" s="99"/>
      <c r="N627" s="100"/>
      <c r="O627" s="102"/>
      <c r="Q627" s="103"/>
      <c r="R627" s="100"/>
      <c r="S627" s="102"/>
      <c r="U627" s="100"/>
      <c r="V627" s="100"/>
      <c r="X627" s="104"/>
      <c r="Z627" s="100"/>
    </row>
    <row r="628" spans="4:26" ht="14.25" customHeight="1" x14ac:dyDescent="0.25">
      <c r="D628" s="116"/>
      <c r="G628" s="111"/>
      <c r="H628" s="98"/>
      <c r="I628" s="99"/>
      <c r="J628" s="100"/>
      <c r="K628" s="101"/>
      <c r="M628" s="99"/>
      <c r="N628" s="100"/>
      <c r="O628" s="102"/>
      <c r="Q628" s="103"/>
      <c r="R628" s="100"/>
      <c r="S628" s="102"/>
      <c r="U628" s="100"/>
      <c r="V628" s="100"/>
      <c r="X628" s="104"/>
      <c r="Z628" s="100"/>
    </row>
    <row r="629" spans="4:26" ht="14.25" customHeight="1" x14ac:dyDescent="0.25">
      <c r="D629" s="116"/>
      <c r="G629" s="111"/>
      <c r="H629" s="98"/>
      <c r="I629" s="99"/>
      <c r="J629" s="100"/>
      <c r="K629" s="101"/>
      <c r="M629" s="99"/>
      <c r="N629" s="100"/>
      <c r="O629" s="102"/>
      <c r="Q629" s="103"/>
      <c r="R629" s="100"/>
      <c r="S629" s="102"/>
      <c r="U629" s="100"/>
      <c r="V629" s="100"/>
      <c r="X629" s="104"/>
      <c r="Z629" s="100"/>
    </row>
    <row r="630" spans="4:26" ht="14.25" customHeight="1" x14ac:dyDescent="0.25">
      <c r="D630" s="116"/>
      <c r="G630" s="111"/>
      <c r="H630" s="98"/>
      <c r="I630" s="99"/>
      <c r="J630" s="100"/>
      <c r="K630" s="101"/>
      <c r="M630" s="99"/>
      <c r="N630" s="100"/>
      <c r="O630" s="102"/>
      <c r="Q630" s="103"/>
      <c r="R630" s="100"/>
      <c r="S630" s="102"/>
      <c r="U630" s="100"/>
      <c r="V630" s="100"/>
      <c r="X630" s="104"/>
      <c r="Z630" s="100"/>
    </row>
    <row r="631" spans="4:26" ht="14.25" customHeight="1" x14ac:dyDescent="0.25">
      <c r="D631" s="116"/>
      <c r="G631" s="111"/>
      <c r="H631" s="98"/>
      <c r="I631" s="99"/>
      <c r="J631" s="100"/>
      <c r="K631" s="101"/>
      <c r="M631" s="99"/>
      <c r="N631" s="100"/>
      <c r="O631" s="102"/>
      <c r="Q631" s="103"/>
      <c r="R631" s="100"/>
      <c r="S631" s="102"/>
      <c r="U631" s="100"/>
      <c r="V631" s="100"/>
      <c r="X631" s="104"/>
      <c r="Z631" s="100"/>
    </row>
    <row r="632" spans="4:26" ht="14.25" customHeight="1" x14ac:dyDescent="0.25">
      <c r="D632" s="116"/>
      <c r="G632" s="111"/>
      <c r="H632" s="98"/>
      <c r="I632" s="99"/>
      <c r="J632" s="100"/>
      <c r="K632" s="101"/>
      <c r="M632" s="99"/>
      <c r="N632" s="100"/>
      <c r="O632" s="102"/>
      <c r="Q632" s="103"/>
      <c r="R632" s="100"/>
      <c r="S632" s="102"/>
      <c r="U632" s="100"/>
      <c r="V632" s="100"/>
      <c r="X632" s="104"/>
      <c r="Z632" s="100"/>
    </row>
    <row r="633" spans="4:26" ht="14.25" customHeight="1" x14ac:dyDescent="0.25">
      <c r="D633" s="116"/>
      <c r="G633" s="111"/>
      <c r="H633" s="98"/>
      <c r="I633" s="99"/>
      <c r="J633" s="100"/>
      <c r="K633" s="101"/>
      <c r="M633" s="99"/>
      <c r="N633" s="100"/>
      <c r="O633" s="102"/>
      <c r="Q633" s="103"/>
      <c r="R633" s="100"/>
      <c r="S633" s="102"/>
      <c r="U633" s="100"/>
      <c r="V633" s="100"/>
      <c r="X633" s="104"/>
      <c r="Z633" s="100"/>
    </row>
    <row r="634" spans="4:26" ht="14.25" customHeight="1" x14ac:dyDescent="0.25">
      <c r="D634" s="116"/>
      <c r="G634" s="111"/>
      <c r="H634" s="98"/>
      <c r="I634" s="99"/>
      <c r="J634" s="100"/>
      <c r="K634" s="101"/>
      <c r="M634" s="99"/>
      <c r="N634" s="100"/>
      <c r="O634" s="102"/>
      <c r="Q634" s="103"/>
      <c r="R634" s="100"/>
      <c r="S634" s="102"/>
      <c r="U634" s="100"/>
      <c r="V634" s="100"/>
      <c r="X634" s="104"/>
      <c r="Z634" s="100"/>
    </row>
    <row r="635" spans="4:26" ht="14.25" customHeight="1" x14ac:dyDescent="0.25">
      <c r="D635" s="116"/>
      <c r="G635" s="111"/>
      <c r="H635" s="98"/>
      <c r="I635" s="99"/>
      <c r="J635" s="100"/>
      <c r="K635" s="101"/>
      <c r="M635" s="99"/>
      <c r="N635" s="100"/>
      <c r="O635" s="102"/>
      <c r="Q635" s="103"/>
      <c r="R635" s="100"/>
      <c r="S635" s="102"/>
      <c r="U635" s="100"/>
      <c r="V635" s="100"/>
      <c r="X635" s="104"/>
      <c r="Z635" s="100"/>
    </row>
    <row r="636" spans="4:26" ht="14.25" customHeight="1" x14ac:dyDescent="0.25">
      <c r="D636" s="116"/>
      <c r="G636" s="111"/>
      <c r="H636" s="98"/>
      <c r="I636" s="99"/>
      <c r="J636" s="100"/>
      <c r="K636" s="101"/>
      <c r="M636" s="99"/>
      <c r="N636" s="100"/>
      <c r="O636" s="102"/>
      <c r="Q636" s="103"/>
      <c r="R636" s="100"/>
      <c r="S636" s="102"/>
      <c r="U636" s="100"/>
      <c r="V636" s="100"/>
      <c r="X636" s="104"/>
      <c r="Z636" s="100"/>
    </row>
    <row r="637" spans="4:26" ht="14.25" customHeight="1" x14ac:dyDescent="0.25">
      <c r="D637" s="116"/>
      <c r="G637" s="111"/>
      <c r="H637" s="98"/>
      <c r="I637" s="99"/>
      <c r="J637" s="100"/>
      <c r="K637" s="101"/>
      <c r="M637" s="99"/>
      <c r="N637" s="100"/>
      <c r="O637" s="102"/>
      <c r="Q637" s="103"/>
      <c r="R637" s="100"/>
      <c r="S637" s="102"/>
      <c r="U637" s="100"/>
      <c r="V637" s="100"/>
      <c r="X637" s="104"/>
      <c r="Z637" s="100"/>
    </row>
    <row r="638" spans="4:26" ht="14.25" customHeight="1" x14ac:dyDescent="0.25">
      <c r="D638" s="116"/>
      <c r="G638" s="111"/>
      <c r="H638" s="98"/>
      <c r="I638" s="99"/>
      <c r="J638" s="100"/>
      <c r="K638" s="101"/>
      <c r="M638" s="99"/>
      <c r="N638" s="100"/>
      <c r="O638" s="102"/>
      <c r="Q638" s="103"/>
      <c r="R638" s="100"/>
      <c r="S638" s="102"/>
      <c r="U638" s="100"/>
      <c r="V638" s="100"/>
      <c r="X638" s="104"/>
      <c r="Z638" s="100"/>
    </row>
    <row r="639" spans="4:26" ht="14.25" customHeight="1" x14ac:dyDescent="0.25">
      <c r="D639" s="116"/>
      <c r="G639" s="111"/>
      <c r="H639" s="98"/>
      <c r="I639" s="99"/>
      <c r="J639" s="100"/>
      <c r="K639" s="101"/>
      <c r="M639" s="99"/>
      <c r="N639" s="100"/>
      <c r="O639" s="102"/>
      <c r="Q639" s="103"/>
      <c r="R639" s="100"/>
      <c r="S639" s="102"/>
      <c r="U639" s="100"/>
      <c r="V639" s="100"/>
      <c r="X639" s="104"/>
      <c r="Z639" s="100"/>
    </row>
    <row r="640" spans="4:26" ht="14.25" customHeight="1" x14ac:dyDescent="0.25">
      <c r="D640" s="116"/>
      <c r="G640" s="111"/>
      <c r="H640" s="98"/>
      <c r="I640" s="99"/>
      <c r="J640" s="100"/>
      <c r="K640" s="101"/>
      <c r="M640" s="99"/>
      <c r="N640" s="100"/>
      <c r="O640" s="102"/>
      <c r="Q640" s="103"/>
      <c r="R640" s="100"/>
      <c r="S640" s="102"/>
      <c r="U640" s="100"/>
      <c r="V640" s="100"/>
      <c r="X640" s="104"/>
      <c r="Z640" s="100"/>
    </row>
    <row r="641" spans="4:26" ht="14.25" customHeight="1" x14ac:dyDescent="0.25">
      <c r="D641" s="116"/>
      <c r="G641" s="111"/>
      <c r="H641" s="98"/>
      <c r="I641" s="99"/>
      <c r="J641" s="100"/>
      <c r="K641" s="101"/>
      <c r="M641" s="99"/>
      <c r="N641" s="100"/>
      <c r="O641" s="102"/>
      <c r="Q641" s="103"/>
      <c r="R641" s="100"/>
      <c r="S641" s="102"/>
      <c r="U641" s="100"/>
      <c r="V641" s="100"/>
      <c r="X641" s="104"/>
      <c r="Z641" s="100"/>
    </row>
    <row r="642" spans="4:26" ht="14.25" customHeight="1" x14ac:dyDescent="0.25">
      <c r="D642" s="116"/>
      <c r="G642" s="111"/>
      <c r="H642" s="98"/>
      <c r="I642" s="99"/>
      <c r="J642" s="100"/>
      <c r="K642" s="101"/>
      <c r="M642" s="99"/>
      <c r="N642" s="100"/>
      <c r="O642" s="102"/>
      <c r="Q642" s="103"/>
      <c r="R642" s="100"/>
      <c r="S642" s="102"/>
      <c r="U642" s="100"/>
      <c r="V642" s="100"/>
      <c r="X642" s="104"/>
      <c r="Z642" s="100"/>
    </row>
    <row r="643" spans="4:26" ht="14.25" customHeight="1" x14ac:dyDescent="0.25">
      <c r="D643" s="116"/>
      <c r="G643" s="111"/>
      <c r="H643" s="98"/>
      <c r="I643" s="99"/>
      <c r="J643" s="100"/>
      <c r="K643" s="101"/>
      <c r="M643" s="99"/>
      <c r="N643" s="100"/>
      <c r="O643" s="102"/>
      <c r="Q643" s="103"/>
      <c r="R643" s="100"/>
      <c r="S643" s="102"/>
      <c r="U643" s="100"/>
      <c r="V643" s="100"/>
      <c r="X643" s="104"/>
      <c r="Z643" s="100"/>
    </row>
    <row r="644" spans="4:26" ht="14.25" customHeight="1" x14ac:dyDescent="0.25">
      <c r="D644" s="116"/>
      <c r="G644" s="111"/>
      <c r="H644" s="98"/>
      <c r="I644" s="99"/>
      <c r="J644" s="100"/>
      <c r="K644" s="101"/>
      <c r="M644" s="99"/>
      <c r="N644" s="100"/>
      <c r="O644" s="102"/>
      <c r="Q644" s="103"/>
      <c r="R644" s="100"/>
      <c r="S644" s="102"/>
      <c r="U644" s="100"/>
      <c r="V644" s="100"/>
      <c r="X644" s="104"/>
      <c r="Z644" s="100"/>
    </row>
    <row r="645" spans="4:26" ht="14.25" customHeight="1" x14ac:dyDescent="0.25">
      <c r="D645" s="116"/>
      <c r="G645" s="111"/>
      <c r="H645" s="98"/>
      <c r="I645" s="99"/>
      <c r="J645" s="100"/>
      <c r="K645" s="101"/>
      <c r="M645" s="99"/>
      <c r="N645" s="100"/>
      <c r="O645" s="102"/>
      <c r="Q645" s="103"/>
      <c r="R645" s="100"/>
      <c r="S645" s="102"/>
      <c r="U645" s="100"/>
      <c r="V645" s="100"/>
      <c r="X645" s="104"/>
      <c r="Z645" s="100"/>
    </row>
    <row r="646" spans="4:26" ht="14.25" customHeight="1" x14ac:dyDescent="0.25">
      <c r="D646" s="116"/>
      <c r="G646" s="111"/>
      <c r="H646" s="98"/>
      <c r="I646" s="99"/>
      <c r="J646" s="100"/>
      <c r="K646" s="101"/>
      <c r="M646" s="99"/>
      <c r="N646" s="100"/>
      <c r="O646" s="102"/>
      <c r="Q646" s="103"/>
      <c r="R646" s="100"/>
      <c r="S646" s="102"/>
      <c r="U646" s="100"/>
      <c r="V646" s="100"/>
      <c r="X646" s="104"/>
      <c r="Z646" s="100"/>
    </row>
    <row r="647" spans="4:26" ht="14.25" customHeight="1" x14ac:dyDescent="0.25">
      <c r="D647" s="116"/>
      <c r="G647" s="111"/>
      <c r="H647" s="98"/>
      <c r="I647" s="99"/>
      <c r="J647" s="100"/>
      <c r="K647" s="101"/>
      <c r="M647" s="99"/>
      <c r="N647" s="100"/>
      <c r="O647" s="102"/>
      <c r="Q647" s="103"/>
      <c r="R647" s="100"/>
      <c r="S647" s="102"/>
      <c r="U647" s="100"/>
      <c r="V647" s="100"/>
      <c r="X647" s="104"/>
      <c r="Z647" s="100"/>
    </row>
    <row r="648" spans="4:26" ht="14.25" customHeight="1" x14ac:dyDescent="0.25">
      <c r="D648" s="116"/>
      <c r="G648" s="111"/>
      <c r="H648" s="98"/>
      <c r="I648" s="99"/>
      <c r="J648" s="100"/>
      <c r="K648" s="101"/>
      <c r="M648" s="99"/>
      <c r="N648" s="100"/>
      <c r="O648" s="102"/>
      <c r="Q648" s="103"/>
      <c r="R648" s="100"/>
      <c r="S648" s="102"/>
      <c r="U648" s="100"/>
      <c r="V648" s="100"/>
      <c r="X648" s="104"/>
      <c r="Z648" s="100"/>
    </row>
    <row r="649" spans="4:26" ht="14.25" customHeight="1" x14ac:dyDescent="0.25">
      <c r="D649" s="116"/>
      <c r="G649" s="111"/>
      <c r="H649" s="98"/>
      <c r="I649" s="99"/>
      <c r="J649" s="100"/>
      <c r="K649" s="101"/>
      <c r="M649" s="99"/>
      <c r="N649" s="100"/>
      <c r="O649" s="102"/>
      <c r="Q649" s="103"/>
      <c r="R649" s="100"/>
      <c r="S649" s="102"/>
      <c r="U649" s="100"/>
      <c r="V649" s="100"/>
      <c r="X649" s="104"/>
      <c r="Z649" s="100"/>
    </row>
    <row r="650" spans="4:26" ht="14.25" customHeight="1" x14ac:dyDescent="0.25">
      <c r="D650" s="116"/>
      <c r="G650" s="111"/>
      <c r="H650" s="98"/>
      <c r="I650" s="99"/>
      <c r="J650" s="100"/>
      <c r="K650" s="101"/>
      <c r="M650" s="99"/>
      <c r="N650" s="100"/>
      <c r="O650" s="102"/>
      <c r="Q650" s="103"/>
      <c r="R650" s="100"/>
      <c r="S650" s="102"/>
      <c r="U650" s="100"/>
      <c r="V650" s="100"/>
      <c r="X650" s="104"/>
      <c r="Z650" s="100"/>
    </row>
    <row r="651" spans="4:26" ht="14.25" customHeight="1" x14ac:dyDescent="0.25">
      <c r="D651" s="116"/>
      <c r="G651" s="111"/>
      <c r="H651" s="98"/>
      <c r="I651" s="99"/>
      <c r="J651" s="100"/>
      <c r="K651" s="101"/>
      <c r="M651" s="99"/>
      <c r="N651" s="100"/>
      <c r="O651" s="102"/>
      <c r="Q651" s="103"/>
      <c r="R651" s="100"/>
      <c r="S651" s="102"/>
      <c r="U651" s="100"/>
      <c r="V651" s="100"/>
      <c r="X651" s="104"/>
      <c r="Z651" s="100"/>
    </row>
    <row r="652" spans="4:26" ht="14.25" customHeight="1" x14ac:dyDescent="0.25">
      <c r="D652" s="116"/>
      <c r="G652" s="111"/>
      <c r="H652" s="98"/>
      <c r="I652" s="99"/>
      <c r="J652" s="100"/>
      <c r="K652" s="101"/>
      <c r="M652" s="99"/>
      <c r="N652" s="100"/>
      <c r="O652" s="102"/>
      <c r="Q652" s="103"/>
      <c r="R652" s="100"/>
      <c r="S652" s="102"/>
      <c r="U652" s="100"/>
      <c r="V652" s="100"/>
      <c r="X652" s="104"/>
      <c r="Z652" s="100"/>
    </row>
    <row r="653" spans="4:26" ht="14.25" customHeight="1" x14ac:dyDescent="0.25">
      <c r="D653" s="116"/>
      <c r="G653" s="111"/>
      <c r="H653" s="98"/>
      <c r="I653" s="99"/>
      <c r="J653" s="100"/>
      <c r="K653" s="101"/>
      <c r="M653" s="99"/>
      <c r="N653" s="100"/>
      <c r="O653" s="102"/>
      <c r="Q653" s="103"/>
      <c r="R653" s="100"/>
      <c r="S653" s="102"/>
      <c r="U653" s="100"/>
      <c r="V653" s="100"/>
      <c r="X653" s="104"/>
      <c r="Z653" s="100"/>
    </row>
    <row r="654" spans="4:26" ht="14.25" customHeight="1" x14ac:dyDescent="0.25">
      <c r="D654" s="116"/>
      <c r="G654" s="111"/>
      <c r="H654" s="98"/>
      <c r="I654" s="99"/>
      <c r="J654" s="100"/>
      <c r="K654" s="101"/>
      <c r="M654" s="99"/>
      <c r="N654" s="100"/>
      <c r="O654" s="102"/>
      <c r="Q654" s="103"/>
      <c r="R654" s="100"/>
      <c r="S654" s="102"/>
      <c r="U654" s="100"/>
      <c r="V654" s="100"/>
      <c r="X654" s="104"/>
      <c r="Z654" s="100"/>
    </row>
    <row r="655" spans="4:26" ht="14.25" customHeight="1" x14ac:dyDescent="0.25">
      <c r="D655" s="116"/>
      <c r="G655" s="111"/>
      <c r="H655" s="98"/>
      <c r="I655" s="99"/>
      <c r="J655" s="100"/>
      <c r="K655" s="101"/>
      <c r="M655" s="99"/>
      <c r="N655" s="100"/>
      <c r="O655" s="102"/>
      <c r="Q655" s="103"/>
      <c r="R655" s="100"/>
      <c r="S655" s="102"/>
      <c r="U655" s="100"/>
      <c r="V655" s="100"/>
      <c r="X655" s="104"/>
      <c r="Z655" s="100"/>
    </row>
    <row r="656" spans="4:26" ht="14.25" customHeight="1" x14ac:dyDescent="0.25">
      <c r="D656" s="116"/>
      <c r="G656" s="111"/>
      <c r="H656" s="98"/>
      <c r="I656" s="99"/>
      <c r="J656" s="100"/>
      <c r="K656" s="101"/>
      <c r="M656" s="99"/>
      <c r="N656" s="100"/>
      <c r="O656" s="102"/>
      <c r="Q656" s="103"/>
      <c r="R656" s="100"/>
      <c r="S656" s="102"/>
      <c r="U656" s="100"/>
      <c r="V656" s="100"/>
      <c r="X656" s="104"/>
      <c r="Z656" s="100"/>
    </row>
    <row r="657" spans="4:26" ht="14.25" customHeight="1" x14ac:dyDescent="0.25">
      <c r="D657" s="116"/>
      <c r="G657" s="111"/>
      <c r="H657" s="98"/>
      <c r="I657" s="99"/>
      <c r="J657" s="100"/>
      <c r="K657" s="101"/>
      <c r="M657" s="99"/>
      <c r="N657" s="100"/>
      <c r="O657" s="102"/>
      <c r="Q657" s="103"/>
      <c r="R657" s="100"/>
      <c r="S657" s="102"/>
      <c r="U657" s="100"/>
      <c r="V657" s="100"/>
      <c r="X657" s="104"/>
      <c r="Z657" s="100"/>
    </row>
    <row r="658" spans="4:26" ht="14.25" customHeight="1" x14ac:dyDescent="0.25">
      <c r="D658" s="116"/>
      <c r="G658" s="111"/>
      <c r="H658" s="98"/>
      <c r="I658" s="99"/>
      <c r="J658" s="100"/>
      <c r="K658" s="101"/>
      <c r="M658" s="99"/>
      <c r="N658" s="100"/>
      <c r="O658" s="102"/>
      <c r="Q658" s="103"/>
      <c r="R658" s="100"/>
      <c r="S658" s="102"/>
      <c r="U658" s="100"/>
      <c r="V658" s="100"/>
      <c r="X658" s="104"/>
      <c r="Z658" s="100"/>
    </row>
    <row r="659" spans="4:26" ht="14.25" customHeight="1" x14ac:dyDescent="0.25">
      <c r="D659" s="116"/>
      <c r="G659" s="111"/>
      <c r="H659" s="98"/>
      <c r="I659" s="99"/>
      <c r="J659" s="100"/>
      <c r="K659" s="101"/>
      <c r="M659" s="99"/>
      <c r="N659" s="100"/>
      <c r="O659" s="102"/>
      <c r="Q659" s="103"/>
      <c r="R659" s="100"/>
      <c r="S659" s="102"/>
      <c r="U659" s="100"/>
      <c r="V659" s="100"/>
      <c r="X659" s="104"/>
      <c r="Z659" s="100"/>
    </row>
    <row r="660" spans="4:26" ht="14.25" customHeight="1" x14ac:dyDescent="0.25">
      <c r="D660" s="116"/>
      <c r="G660" s="111"/>
      <c r="H660" s="98"/>
      <c r="I660" s="99"/>
      <c r="J660" s="100"/>
      <c r="K660" s="101"/>
      <c r="M660" s="99"/>
      <c r="N660" s="100"/>
      <c r="O660" s="102"/>
      <c r="Q660" s="103"/>
      <c r="R660" s="100"/>
      <c r="S660" s="102"/>
      <c r="U660" s="100"/>
      <c r="V660" s="100"/>
      <c r="X660" s="104"/>
      <c r="Z660" s="100"/>
    </row>
    <row r="661" spans="4:26" ht="14.25" customHeight="1" x14ac:dyDescent="0.25">
      <c r="D661" s="116"/>
      <c r="G661" s="111"/>
      <c r="H661" s="98"/>
      <c r="I661" s="99"/>
      <c r="J661" s="100"/>
      <c r="K661" s="101"/>
      <c r="M661" s="99"/>
      <c r="N661" s="100"/>
      <c r="O661" s="102"/>
      <c r="Q661" s="103"/>
      <c r="R661" s="100"/>
      <c r="S661" s="102"/>
      <c r="U661" s="100"/>
      <c r="V661" s="100"/>
      <c r="X661" s="104"/>
      <c r="Z661" s="100"/>
    </row>
    <row r="662" spans="4:26" ht="14.25" customHeight="1" x14ac:dyDescent="0.25">
      <c r="D662" s="116"/>
      <c r="G662" s="111"/>
      <c r="H662" s="98"/>
      <c r="I662" s="99"/>
      <c r="J662" s="100"/>
      <c r="K662" s="101"/>
      <c r="M662" s="99"/>
      <c r="N662" s="100"/>
      <c r="O662" s="102"/>
      <c r="Q662" s="103"/>
      <c r="R662" s="100"/>
      <c r="S662" s="102"/>
      <c r="U662" s="100"/>
      <c r="V662" s="100"/>
      <c r="X662" s="104"/>
      <c r="Z662" s="100"/>
    </row>
    <row r="663" spans="4:26" ht="14.25" customHeight="1" x14ac:dyDescent="0.25">
      <c r="D663" s="116"/>
      <c r="G663" s="111"/>
      <c r="H663" s="98"/>
      <c r="I663" s="99"/>
      <c r="J663" s="100"/>
      <c r="K663" s="101"/>
      <c r="M663" s="99"/>
      <c r="N663" s="100"/>
      <c r="O663" s="102"/>
      <c r="Q663" s="103"/>
      <c r="R663" s="100"/>
      <c r="S663" s="102"/>
      <c r="U663" s="100"/>
      <c r="V663" s="100"/>
      <c r="X663" s="104"/>
      <c r="Z663" s="100"/>
    </row>
    <row r="664" spans="4:26" ht="14.25" customHeight="1" x14ac:dyDescent="0.25">
      <c r="D664" s="116"/>
      <c r="G664" s="111"/>
      <c r="H664" s="98"/>
      <c r="I664" s="99"/>
      <c r="J664" s="100"/>
      <c r="K664" s="101"/>
      <c r="M664" s="99"/>
      <c r="N664" s="100"/>
      <c r="O664" s="102"/>
      <c r="Q664" s="103"/>
      <c r="R664" s="100"/>
      <c r="S664" s="102"/>
      <c r="U664" s="100"/>
      <c r="V664" s="100"/>
      <c r="X664" s="104"/>
      <c r="Z664" s="100"/>
    </row>
    <row r="665" spans="4:26" ht="14.25" customHeight="1" x14ac:dyDescent="0.25">
      <c r="D665" s="116"/>
      <c r="G665" s="111"/>
      <c r="H665" s="98"/>
      <c r="I665" s="99"/>
      <c r="J665" s="100"/>
      <c r="K665" s="101"/>
      <c r="M665" s="99"/>
      <c r="N665" s="100"/>
      <c r="O665" s="102"/>
      <c r="Q665" s="103"/>
      <c r="R665" s="100"/>
      <c r="S665" s="102"/>
      <c r="U665" s="100"/>
      <c r="V665" s="100"/>
      <c r="X665" s="104"/>
      <c r="Z665" s="100"/>
    </row>
    <row r="666" spans="4:26" ht="14.25" customHeight="1" x14ac:dyDescent="0.25">
      <c r="D666" s="116"/>
      <c r="G666" s="111"/>
      <c r="H666" s="98"/>
      <c r="I666" s="99"/>
      <c r="J666" s="100"/>
      <c r="K666" s="101"/>
      <c r="M666" s="99"/>
      <c r="N666" s="100"/>
      <c r="O666" s="102"/>
      <c r="Q666" s="103"/>
      <c r="R666" s="100"/>
      <c r="S666" s="102"/>
      <c r="U666" s="100"/>
      <c r="V666" s="100"/>
      <c r="X666" s="104"/>
      <c r="Z666" s="100"/>
    </row>
    <row r="667" spans="4:26" ht="14.25" customHeight="1" x14ac:dyDescent="0.25">
      <c r="D667" s="116"/>
      <c r="G667" s="111"/>
      <c r="H667" s="98"/>
      <c r="I667" s="99"/>
      <c r="J667" s="100"/>
      <c r="K667" s="101"/>
      <c r="M667" s="99"/>
      <c r="N667" s="100"/>
      <c r="O667" s="102"/>
      <c r="Q667" s="103"/>
      <c r="R667" s="100"/>
      <c r="S667" s="102"/>
      <c r="U667" s="100"/>
      <c r="V667" s="100"/>
      <c r="X667" s="104"/>
      <c r="Z667" s="100"/>
    </row>
    <row r="668" spans="4:26" ht="14.25" customHeight="1" x14ac:dyDescent="0.25">
      <c r="D668" s="116"/>
      <c r="G668" s="111"/>
      <c r="H668" s="98"/>
      <c r="I668" s="99"/>
      <c r="J668" s="100"/>
      <c r="K668" s="101"/>
      <c r="M668" s="99"/>
      <c r="N668" s="100"/>
      <c r="O668" s="102"/>
      <c r="Q668" s="103"/>
      <c r="R668" s="100"/>
      <c r="S668" s="102"/>
      <c r="U668" s="100"/>
      <c r="V668" s="100"/>
      <c r="X668" s="104"/>
      <c r="Z668" s="100"/>
    </row>
    <row r="669" spans="4:26" ht="14.25" customHeight="1" x14ac:dyDescent="0.25">
      <c r="D669" s="116"/>
      <c r="G669" s="111"/>
      <c r="H669" s="98"/>
      <c r="I669" s="99"/>
      <c r="J669" s="100"/>
      <c r="K669" s="101"/>
      <c r="M669" s="99"/>
      <c r="N669" s="100"/>
      <c r="O669" s="102"/>
      <c r="Q669" s="103"/>
      <c r="R669" s="100"/>
      <c r="S669" s="102"/>
      <c r="U669" s="100"/>
      <c r="V669" s="100"/>
      <c r="X669" s="104"/>
      <c r="Z669" s="100"/>
    </row>
    <row r="670" spans="4:26" ht="14.25" customHeight="1" x14ac:dyDescent="0.25">
      <c r="D670" s="116"/>
      <c r="G670" s="111"/>
      <c r="H670" s="98"/>
      <c r="I670" s="99"/>
      <c r="J670" s="100"/>
      <c r="K670" s="101"/>
      <c r="M670" s="99"/>
      <c r="N670" s="100"/>
      <c r="O670" s="102"/>
      <c r="Q670" s="103"/>
      <c r="R670" s="100"/>
      <c r="S670" s="102"/>
      <c r="U670" s="100"/>
      <c r="V670" s="100"/>
      <c r="X670" s="104"/>
      <c r="Z670" s="100"/>
    </row>
    <row r="671" spans="4:26" ht="14.25" customHeight="1" x14ac:dyDescent="0.25">
      <c r="D671" s="116"/>
      <c r="G671" s="111"/>
      <c r="H671" s="98"/>
      <c r="I671" s="99"/>
      <c r="J671" s="100"/>
      <c r="K671" s="101"/>
      <c r="M671" s="99"/>
      <c r="N671" s="100"/>
      <c r="O671" s="102"/>
      <c r="Q671" s="103"/>
      <c r="R671" s="100"/>
      <c r="S671" s="102"/>
      <c r="U671" s="100"/>
      <c r="V671" s="100"/>
      <c r="X671" s="104"/>
      <c r="Z671" s="100"/>
    </row>
    <row r="672" spans="4:26" ht="14.25" customHeight="1" x14ac:dyDescent="0.25">
      <c r="D672" s="116"/>
      <c r="G672" s="111"/>
      <c r="H672" s="98"/>
      <c r="I672" s="99"/>
      <c r="J672" s="100"/>
      <c r="K672" s="101"/>
      <c r="M672" s="99"/>
      <c r="N672" s="100"/>
      <c r="O672" s="102"/>
      <c r="Q672" s="103"/>
      <c r="R672" s="100"/>
      <c r="S672" s="102"/>
      <c r="U672" s="100"/>
      <c r="V672" s="100"/>
      <c r="X672" s="104"/>
      <c r="Z672" s="100"/>
    </row>
    <row r="673" spans="4:26" ht="14.25" customHeight="1" x14ac:dyDescent="0.25">
      <c r="D673" s="116"/>
      <c r="G673" s="111"/>
      <c r="H673" s="98"/>
      <c r="I673" s="99"/>
      <c r="J673" s="100"/>
      <c r="K673" s="101"/>
      <c r="M673" s="99"/>
      <c r="N673" s="100"/>
      <c r="O673" s="102"/>
      <c r="Q673" s="103"/>
      <c r="R673" s="100"/>
      <c r="S673" s="102"/>
      <c r="U673" s="100"/>
      <c r="V673" s="100"/>
      <c r="X673" s="104"/>
      <c r="Z673" s="100"/>
    </row>
    <row r="674" spans="4:26" ht="14.25" customHeight="1" x14ac:dyDescent="0.25">
      <c r="D674" s="116"/>
      <c r="G674" s="111"/>
      <c r="H674" s="98"/>
      <c r="I674" s="99"/>
      <c r="J674" s="100"/>
      <c r="K674" s="101"/>
      <c r="M674" s="99"/>
      <c r="N674" s="100"/>
      <c r="O674" s="102"/>
      <c r="Q674" s="103"/>
      <c r="R674" s="100"/>
      <c r="S674" s="102"/>
      <c r="U674" s="100"/>
      <c r="V674" s="100"/>
      <c r="X674" s="104"/>
      <c r="Z674" s="100"/>
    </row>
    <row r="675" spans="4:26" ht="14.25" customHeight="1" x14ac:dyDescent="0.25">
      <c r="D675" s="116"/>
      <c r="G675" s="111"/>
      <c r="H675" s="98"/>
      <c r="I675" s="99"/>
      <c r="J675" s="100"/>
      <c r="K675" s="101"/>
      <c r="M675" s="99"/>
      <c r="N675" s="100"/>
      <c r="O675" s="102"/>
      <c r="Q675" s="103"/>
      <c r="R675" s="100"/>
      <c r="S675" s="102"/>
      <c r="U675" s="100"/>
      <c r="V675" s="100"/>
      <c r="X675" s="104"/>
      <c r="Z675" s="100"/>
    </row>
    <row r="676" spans="4:26" ht="14.25" customHeight="1" x14ac:dyDescent="0.25">
      <c r="D676" s="116"/>
      <c r="G676" s="111"/>
      <c r="H676" s="98"/>
      <c r="I676" s="99"/>
      <c r="J676" s="100"/>
      <c r="K676" s="101"/>
      <c r="M676" s="99"/>
      <c r="N676" s="100"/>
      <c r="O676" s="102"/>
      <c r="Q676" s="103"/>
      <c r="R676" s="100"/>
      <c r="S676" s="102"/>
      <c r="U676" s="100"/>
      <c r="V676" s="100"/>
      <c r="X676" s="104"/>
      <c r="Z676" s="100"/>
    </row>
    <row r="677" spans="4:26" ht="14.25" customHeight="1" x14ac:dyDescent="0.25">
      <c r="D677" s="116"/>
      <c r="G677" s="111"/>
      <c r="H677" s="98"/>
      <c r="I677" s="99"/>
      <c r="J677" s="100"/>
      <c r="K677" s="101"/>
      <c r="M677" s="99"/>
      <c r="N677" s="100"/>
      <c r="O677" s="102"/>
      <c r="Q677" s="103"/>
      <c r="R677" s="100"/>
      <c r="S677" s="102"/>
      <c r="U677" s="100"/>
      <c r="V677" s="100"/>
      <c r="X677" s="104"/>
      <c r="Z677" s="100"/>
    </row>
    <row r="678" spans="4:26" ht="14.25" customHeight="1" x14ac:dyDescent="0.25">
      <c r="D678" s="116"/>
      <c r="G678" s="111"/>
      <c r="H678" s="98"/>
      <c r="I678" s="99"/>
      <c r="J678" s="100"/>
      <c r="K678" s="101"/>
      <c r="M678" s="99"/>
      <c r="N678" s="100"/>
      <c r="O678" s="102"/>
      <c r="Q678" s="103"/>
      <c r="R678" s="100"/>
      <c r="S678" s="102"/>
      <c r="U678" s="100"/>
      <c r="V678" s="100"/>
      <c r="X678" s="104"/>
      <c r="Z678" s="100"/>
    </row>
    <row r="679" spans="4:26" ht="14.25" customHeight="1" x14ac:dyDescent="0.25">
      <c r="D679" s="116"/>
      <c r="G679" s="111"/>
      <c r="H679" s="98"/>
      <c r="I679" s="99"/>
      <c r="J679" s="100"/>
      <c r="K679" s="101"/>
      <c r="M679" s="99"/>
      <c r="N679" s="100"/>
      <c r="O679" s="102"/>
      <c r="Q679" s="103"/>
      <c r="R679" s="100"/>
      <c r="S679" s="102"/>
      <c r="U679" s="100"/>
      <c r="V679" s="100"/>
      <c r="X679" s="104"/>
      <c r="Z679" s="100"/>
    </row>
    <row r="680" spans="4:26" ht="14.25" customHeight="1" x14ac:dyDescent="0.25">
      <c r="D680" s="116"/>
      <c r="G680" s="111"/>
      <c r="H680" s="98"/>
      <c r="I680" s="99"/>
      <c r="J680" s="100"/>
      <c r="K680" s="101"/>
      <c r="M680" s="99"/>
      <c r="N680" s="100"/>
      <c r="O680" s="102"/>
      <c r="Q680" s="103"/>
      <c r="R680" s="100"/>
      <c r="S680" s="102"/>
      <c r="U680" s="100"/>
      <c r="V680" s="100"/>
      <c r="X680" s="104"/>
      <c r="Z680" s="100"/>
    </row>
    <row r="681" spans="4:26" ht="14.25" customHeight="1" x14ac:dyDescent="0.25">
      <c r="D681" s="116"/>
      <c r="G681" s="111"/>
      <c r="H681" s="98"/>
      <c r="I681" s="99"/>
      <c r="J681" s="100"/>
      <c r="K681" s="101"/>
      <c r="M681" s="99"/>
      <c r="N681" s="100"/>
      <c r="O681" s="102"/>
      <c r="Q681" s="103"/>
      <c r="R681" s="100"/>
      <c r="S681" s="102"/>
      <c r="U681" s="100"/>
      <c r="V681" s="100"/>
      <c r="X681" s="104"/>
      <c r="Z681" s="100"/>
    </row>
    <row r="682" spans="4:26" ht="14.25" customHeight="1" x14ac:dyDescent="0.25">
      <c r="D682" s="116"/>
      <c r="G682" s="111"/>
      <c r="H682" s="98"/>
      <c r="I682" s="99"/>
      <c r="J682" s="100"/>
      <c r="K682" s="101"/>
      <c r="M682" s="99"/>
      <c r="N682" s="100"/>
      <c r="O682" s="102"/>
      <c r="Q682" s="103"/>
      <c r="R682" s="100"/>
      <c r="S682" s="102"/>
      <c r="U682" s="100"/>
      <c r="V682" s="100"/>
      <c r="X682" s="104"/>
      <c r="Z682" s="100"/>
    </row>
    <row r="683" spans="4:26" ht="14.25" customHeight="1" x14ac:dyDescent="0.25">
      <c r="D683" s="116"/>
      <c r="G683" s="111"/>
      <c r="H683" s="98"/>
      <c r="I683" s="99"/>
      <c r="J683" s="100"/>
      <c r="K683" s="101"/>
      <c r="M683" s="99"/>
      <c r="N683" s="100"/>
      <c r="O683" s="102"/>
      <c r="Q683" s="103"/>
      <c r="R683" s="100"/>
      <c r="S683" s="102"/>
      <c r="U683" s="100"/>
      <c r="V683" s="100"/>
      <c r="X683" s="104"/>
      <c r="Z683" s="100"/>
    </row>
    <row r="684" spans="4:26" ht="14.25" customHeight="1" x14ac:dyDescent="0.25">
      <c r="D684" s="116"/>
      <c r="G684" s="111"/>
      <c r="H684" s="98"/>
      <c r="I684" s="99"/>
      <c r="J684" s="100"/>
      <c r="K684" s="101"/>
      <c r="M684" s="99"/>
      <c r="N684" s="100"/>
      <c r="O684" s="102"/>
      <c r="Q684" s="103"/>
      <c r="R684" s="100"/>
      <c r="S684" s="102"/>
      <c r="U684" s="100"/>
      <c r="V684" s="100"/>
      <c r="X684" s="104"/>
      <c r="Z684" s="100"/>
    </row>
    <row r="685" spans="4:26" ht="14.25" customHeight="1" x14ac:dyDescent="0.25">
      <c r="D685" s="116"/>
      <c r="G685" s="111"/>
      <c r="H685" s="98"/>
      <c r="I685" s="99"/>
      <c r="J685" s="100"/>
      <c r="K685" s="101"/>
      <c r="M685" s="99"/>
      <c r="N685" s="100"/>
      <c r="O685" s="102"/>
      <c r="Q685" s="103"/>
      <c r="R685" s="100"/>
      <c r="S685" s="102"/>
      <c r="U685" s="100"/>
      <c r="V685" s="100"/>
      <c r="X685" s="104"/>
      <c r="Z685" s="100"/>
    </row>
    <row r="686" spans="4:26" ht="14.25" customHeight="1" x14ac:dyDescent="0.25">
      <c r="D686" s="116"/>
      <c r="G686" s="111"/>
      <c r="H686" s="98"/>
      <c r="I686" s="99"/>
      <c r="J686" s="100"/>
      <c r="K686" s="101"/>
      <c r="M686" s="99"/>
      <c r="N686" s="100"/>
      <c r="O686" s="102"/>
      <c r="Q686" s="103"/>
      <c r="R686" s="100"/>
      <c r="S686" s="102"/>
      <c r="U686" s="100"/>
      <c r="V686" s="100"/>
      <c r="X686" s="104"/>
      <c r="Z686" s="100"/>
    </row>
    <row r="687" spans="4:26" ht="14.25" customHeight="1" x14ac:dyDescent="0.25">
      <c r="D687" s="116"/>
      <c r="G687" s="111"/>
      <c r="H687" s="98"/>
      <c r="I687" s="99"/>
      <c r="J687" s="100"/>
      <c r="K687" s="101"/>
      <c r="M687" s="99"/>
      <c r="N687" s="100"/>
      <c r="O687" s="102"/>
      <c r="Q687" s="103"/>
      <c r="R687" s="100"/>
      <c r="S687" s="102"/>
      <c r="U687" s="100"/>
      <c r="V687" s="100"/>
      <c r="X687" s="104"/>
      <c r="Z687" s="100"/>
    </row>
    <row r="688" spans="4:26" ht="14.25" customHeight="1" x14ac:dyDescent="0.25">
      <c r="D688" s="116"/>
      <c r="G688" s="111"/>
      <c r="H688" s="98"/>
      <c r="I688" s="99"/>
      <c r="J688" s="100"/>
      <c r="K688" s="101"/>
      <c r="M688" s="99"/>
      <c r="N688" s="100"/>
      <c r="O688" s="102"/>
      <c r="Q688" s="103"/>
      <c r="R688" s="100"/>
      <c r="S688" s="102"/>
      <c r="U688" s="100"/>
      <c r="V688" s="100"/>
      <c r="X688" s="104"/>
      <c r="Z688" s="100"/>
    </row>
    <row r="689" spans="4:26" ht="14.25" customHeight="1" x14ac:dyDescent="0.25">
      <c r="D689" s="116"/>
      <c r="G689" s="111"/>
      <c r="H689" s="98"/>
      <c r="I689" s="99"/>
      <c r="J689" s="100"/>
      <c r="K689" s="101"/>
      <c r="M689" s="99"/>
      <c r="N689" s="100"/>
      <c r="O689" s="102"/>
      <c r="Q689" s="103"/>
      <c r="R689" s="100"/>
      <c r="S689" s="102"/>
      <c r="U689" s="100"/>
      <c r="V689" s="100"/>
      <c r="X689" s="104"/>
      <c r="Z689" s="100"/>
    </row>
    <row r="690" spans="4:26" ht="14.25" customHeight="1" x14ac:dyDescent="0.25">
      <c r="D690" s="116"/>
      <c r="G690" s="111"/>
      <c r="H690" s="98"/>
      <c r="I690" s="99"/>
      <c r="J690" s="100"/>
      <c r="K690" s="101"/>
      <c r="M690" s="99"/>
      <c r="N690" s="100"/>
      <c r="O690" s="102"/>
      <c r="Q690" s="103"/>
      <c r="R690" s="100"/>
      <c r="S690" s="102"/>
      <c r="U690" s="100"/>
      <c r="V690" s="100"/>
      <c r="X690" s="104"/>
      <c r="Z690" s="100"/>
    </row>
    <row r="691" spans="4:26" ht="14.25" customHeight="1" x14ac:dyDescent="0.25">
      <c r="D691" s="116"/>
      <c r="G691" s="111"/>
      <c r="H691" s="98"/>
      <c r="I691" s="99"/>
      <c r="J691" s="100"/>
      <c r="K691" s="101"/>
      <c r="M691" s="99"/>
      <c r="N691" s="100"/>
      <c r="O691" s="102"/>
      <c r="Q691" s="103"/>
      <c r="R691" s="100"/>
      <c r="S691" s="102"/>
      <c r="U691" s="100"/>
      <c r="V691" s="100"/>
      <c r="X691" s="104"/>
      <c r="Z691" s="100"/>
    </row>
    <row r="692" spans="4:26" ht="14.25" customHeight="1" x14ac:dyDescent="0.25">
      <c r="D692" s="116"/>
      <c r="G692" s="111"/>
      <c r="H692" s="98"/>
      <c r="I692" s="99"/>
      <c r="J692" s="100"/>
      <c r="K692" s="101"/>
      <c r="M692" s="99"/>
      <c r="N692" s="100"/>
      <c r="O692" s="102"/>
      <c r="Q692" s="103"/>
      <c r="R692" s="100"/>
      <c r="S692" s="102"/>
      <c r="U692" s="100"/>
      <c r="V692" s="100"/>
      <c r="X692" s="104"/>
      <c r="Z692" s="100"/>
    </row>
    <row r="693" spans="4:26" ht="14.25" customHeight="1" x14ac:dyDescent="0.25">
      <c r="D693" s="116"/>
      <c r="G693" s="111"/>
      <c r="H693" s="98"/>
      <c r="I693" s="99"/>
      <c r="J693" s="100"/>
      <c r="K693" s="101"/>
      <c r="M693" s="99"/>
      <c r="N693" s="100"/>
      <c r="O693" s="102"/>
      <c r="Q693" s="103"/>
      <c r="R693" s="100"/>
      <c r="S693" s="102"/>
      <c r="U693" s="100"/>
      <c r="V693" s="100"/>
      <c r="X693" s="104"/>
      <c r="Z693" s="100"/>
    </row>
    <row r="694" spans="4:26" ht="14.25" customHeight="1" x14ac:dyDescent="0.25">
      <c r="D694" s="116"/>
      <c r="G694" s="111"/>
      <c r="H694" s="98"/>
      <c r="I694" s="99"/>
      <c r="J694" s="100"/>
      <c r="K694" s="101"/>
      <c r="M694" s="99"/>
      <c r="N694" s="100"/>
      <c r="O694" s="102"/>
      <c r="Q694" s="103"/>
      <c r="R694" s="100"/>
      <c r="S694" s="102"/>
      <c r="U694" s="100"/>
      <c r="V694" s="100"/>
      <c r="X694" s="104"/>
      <c r="Z694" s="100"/>
    </row>
    <row r="695" spans="4:26" ht="14.25" customHeight="1" x14ac:dyDescent="0.25">
      <c r="D695" s="116"/>
      <c r="G695" s="111"/>
      <c r="H695" s="98"/>
      <c r="I695" s="99"/>
      <c r="J695" s="100"/>
      <c r="K695" s="101"/>
      <c r="M695" s="99"/>
      <c r="N695" s="100"/>
      <c r="O695" s="102"/>
      <c r="Q695" s="103"/>
      <c r="R695" s="100"/>
      <c r="S695" s="102"/>
      <c r="U695" s="100"/>
      <c r="V695" s="100"/>
      <c r="X695" s="104"/>
      <c r="Z695" s="100"/>
    </row>
    <row r="696" spans="4:26" ht="14.25" customHeight="1" x14ac:dyDescent="0.25">
      <c r="D696" s="116"/>
      <c r="G696" s="111"/>
      <c r="H696" s="98"/>
      <c r="I696" s="99"/>
      <c r="J696" s="100"/>
      <c r="K696" s="101"/>
      <c r="M696" s="99"/>
      <c r="N696" s="100"/>
      <c r="O696" s="102"/>
      <c r="Q696" s="103"/>
      <c r="R696" s="100"/>
      <c r="S696" s="102"/>
      <c r="U696" s="100"/>
      <c r="V696" s="100"/>
      <c r="X696" s="104"/>
      <c r="Z696" s="100"/>
    </row>
    <row r="697" spans="4:26" ht="14.25" customHeight="1" x14ac:dyDescent="0.25">
      <c r="D697" s="116"/>
      <c r="G697" s="111"/>
      <c r="H697" s="98"/>
      <c r="I697" s="99"/>
      <c r="J697" s="100"/>
      <c r="K697" s="101"/>
      <c r="M697" s="99"/>
      <c r="N697" s="100"/>
      <c r="O697" s="102"/>
      <c r="Q697" s="103"/>
      <c r="R697" s="100"/>
      <c r="S697" s="102"/>
      <c r="U697" s="100"/>
      <c r="V697" s="100"/>
      <c r="X697" s="104"/>
      <c r="Z697" s="100"/>
    </row>
    <row r="698" spans="4:26" ht="14.25" customHeight="1" x14ac:dyDescent="0.25">
      <c r="D698" s="116"/>
      <c r="G698" s="111"/>
      <c r="H698" s="98"/>
      <c r="I698" s="99"/>
      <c r="J698" s="100"/>
      <c r="K698" s="101"/>
      <c r="M698" s="99"/>
      <c r="N698" s="100"/>
      <c r="O698" s="102"/>
      <c r="Q698" s="103"/>
      <c r="R698" s="100"/>
      <c r="S698" s="102"/>
      <c r="U698" s="100"/>
      <c r="V698" s="100"/>
      <c r="X698" s="104"/>
      <c r="Z698" s="100"/>
    </row>
    <row r="699" spans="4:26" ht="14.25" customHeight="1" x14ac:dyDescent="0.25">
      <c r="D699" s="116"/>
      <c r="G699" s="111"/>
      <c r="H699" s="98"/>
      <c r="I699" s="99"/>
      <c r="J699" s="100"/>
      <c r="K699" s="101"/>
      <c r="M699" s="99"/>
      <c r="N699" s="100"/>
      <c r="O699" s="102"/>
      <c r="Q699" s="103"/>
      <c r="R699" s="100"/>
      <c r="S699" s="102"/>
      <c r="U699" s="100"/>
      <c r="V699" s="100"/>
      <c r="X699" s="104"/>
      <c r="Z699" s="100"/>
    </row>
    <row r="700" spans="4:26" ht="14.25" customHeight="1" x14ac:dyDescent="0.25">
      <c r="D700" s="116"/>
      <c r="G700" s="111"/>
      <c r="H700" s="98"/>
      <c r="I700" s="99"/>
      <c r="J700" s="100"/>
      <c r="K700" s="101"/>
      <c r="M700" s="99"/>
      <c r="N700" s="100"/>
      <c r="O700" s="102"/>
      <c r="Q700" s="103"/>
      <c r="R700" s="100"/>
      <c r="S700" s="102"/>
      <c r="U700" s="100"/>
      <c r="V700" s="100"/>
      <c r="X700" s="104"/>
      <c r="Z700" s="100"/>
    </row>
    <row r="701" spans="4:26" ht="14.25" customHeight="1" x14ac:dyDescent="0.25">
      <c r="D701" s="116"/>
      <c r="G701" s="111"/>
      <c r="H701" s="98"/>
      <c r="I701" s="99"/>
      <c r="J701" s="100"/>
      <c r="K701" s="101"/>
      <c r="M701" s="99"/>
      <c r="N701" s="100"/>
      <c r="O701" s="102"/>
      <c r="Q701" s="103"/>
      <c r="R701" s="100"/>
      <c r="S701" s="102"/>
      <c r="U701" s="100"/>
      <c r="V701" s="100"/>
      <c r="X701" s="104"/>
      <c r="Z701" s="100"/>
    </row>
    <row r="702" spans="4:26" ht="14.25" customHeight="1" x14ac:dyDescent="0.25">
      <c r="D702" s="116"/>
      <c r="G702" s="111"/>
      <c r="H702" s="98"/>
      <c r="I702" s="99"/>
      <c r="J702" s="100"/>
      <c r="K702" s="101"/>
      <c r="M702" s="99"/>
      <c r="N702" s="100"/>
      <c r="O702" s="102"/>
      <c r="Q702" s="103"/>
      <c r="R702" s="100"/>
      <c r="S702" s="102"/>
      <c r="U702" s="100"/>
      <c r="V702" s="100"/>
      <c r="X702" s="104"/>
      <c r="Z702" s="100"/>
    </row>
    <row r="703" spans="4:26" ht="14.25" customHeight="1" x14ac:dyDescent="0.25">
      <c r="D703" s="116"/>
      <c r="G703" s="111"/>
      <c r="H703" s="98"/>
      <c r="I703" s="99"/>
      <c r="J703" s="100"/>
      <c r="K703" s="101"/>
      <c r="M703" s="99"/>
      <c r="N703" s="100"/>
      <c r="O703" s="102"/>
      <c r="Q703" s="103"/>
      <c r="R703" s="100"/>
      <c r="S703" s="102"/>
      <c r="U703" s="100"/>
      <c r="V703" s="100"/>
      <c r="X703" s="104"/>
      <c r="Z703" s="100"/>
    </row>
    <row r="704" spans="4:26" ht="14.25" customHeight="1" x14ac:dyDescent="0.25">
      <c r="D704" s="116"/>
      <c r="G704" s="111"/>
      <c r="H704" s="98"/>
      <c r="I704" s="99"/>
      <c r="J704" s="100"/>
      <c r="K704" s="101"/>
      <c r="M704" s="99"/>
      <c r="N704" s="100"/>
      <c r="O704" s="102"/>
      <c r="Q704" s="103"/>
      <c r="R704" s="100"/>
      <c r="S704" s="102"/>
      <c r="U704" s="100"/>
      <c r="V704" s="100"/>
      <c r="X704" s="104"/>
      <c r="Z704" s="100"/>
    </row>
    <row r="705" spans="4:26" ht="14.25" customHeight="1" x14ac:dyDescent="0.25">
      <c r="D705" s="116"/>
      <c r="G705" s="111"/>
      <c r="H705" s="98"/>
      <c r="I705" s="99"/>
      <c r="J705" s="100"/>
      <c r="K705" s="101"/>
      <c r="M705" s="99"/>
      <c r="N705" s="100"/>
      <c r="O705" s="102"/>
      <c r="Q705" s="103"/>
      <c r="R705" s="100"/>
      <c r="S705" s="102"/>
      <c r="U705" s="100"/>
      <c r="V705" s="100"/>
      <c r="X705" s="104"/>
      <c r="Z705" s="100"/>
    </row>
    <row r="706" spans="4:26" ht="14.25" customHeight="1" x14ac:dyDescent="0.25">
      <c r="D706" s="116"/>
      <c r="G706" s="111"/>
      <c r="H706" s="98"/>
      <c r="I706" s="99"/>
      <c r="J706" s="100"/>
      <c r="K706" s="101"/>
      <c r="M706" s="99"/>
      <c r="N706" s="100"/>
      <c r="O706" s="102"/>
      <c r="Q706" s="103"/>
      <c r="R706" s="100"/>
      <c r="S706" s="102"/>
      <c r="U706" s="100"/>
      <c r="V706" s="100"/>
      <c r="X706" s="104"/>
      <c r="Z706" s="100"/>
    </row>
    <row r="707" spans="4:26" ht="14.25" customHeight="1" x14ac:dyDescent="0.25">
      <c r="D707" s="116"/>
      <c r="G707" s="111"/>
      <c r="H707" s="98"/>
      <c r="I707" s="99"/>
      <c r="J707" s="100"/>
      <c r="K707" s="101"/>
      <c r="M707" s="99"/>
      <c r="N707" s="100"/>
      <c r="O707" s="102"/>
      <c r="Q707" s="103"/>
      <c r="R707" s="100"/>
      <c r="S707" s="102"/>
      <c r="U707" s="100"/>
      <c r="V707" s="100"/>
      <c r="X707" s="104"/>
      <c r="Z707" s="100"/>
    </row>
    <row r="708" spans="4:26" ht="14.25" customHeight="1" x14ac:dyDescent="0.25">
      <c r="D708" s="116"/>
      <c r="G708" s="111"/>
      <c r="H708" s="98"/>
      <c r="I708" s="99"/>
      <c r="J708" s="100"/>
      <c r="K708" s="101"/>
      <c r="M708" s="99"/>
      <c r="N708" s="100"/>
      <c r="O708" s="102"/>
      <c r="Q708" s="103"/>
      <c r="R708" s="100"/>
      <c r="S708" s="102"/>
      <c r="U708" s="100"/>
      <c r="V708" s="100"/>
      <c r="X708" s="104"/>
      <c r="Z708" s="100"/>
    </row>
    <row r="709" spans="4:26" ht="14.25" customHeight="1" x14ac:dyDescent="0.25">
      <c r="D709" s="116"/>
      <c r="G709" s="111"/>
      <c r="H709" s="98"/>
      <c r="I709" s="99"/>
      <c r="J709" s="100"/>
      <c r="K709" s="101"/>
      <c r="M709" s="99"/>
      <c r="N709" s="100"/>
      <c r="O709" s="102"/>
      <c r="Q709" s="103"/>
      <c r="R709" s="100"/>
      <c r="S709" s="102"/>
      <c r="U709" s="100"/>
      <c r="V709" s="100"/>
      <c r="X709" s="104"/>
      <c r="Z709" s="100"/>
    </row>
    <row r="710" spans="4:26" ht="14.25" customHeight="1" x14ac:dyDescent="0.25">
      <c r="D710" s="116"/>
      <c r="G710" s="111"/>
      <c r="H710" s="98"/>
      <c r="I710" s="99"/>
      <c r="J710" s="100"/>
      <c r="K710" s="101"/>
      <c r="M710" s="99"/>
      <c r="N710" s="100"/>
      <c r="O710" s="102"/>
      <c r="Q710" s="103"/>
      <c r="R710" s="100"/>
      <c r="S710" s="102"/>
      <c r="U710" s="100"/>
      <c r="V710" s="100"/>
      <c r="X710" s="104"/>
      <c r="Z710" s="100"/>
    </row>
    <row r="711" spans="4:26" ht="14.25" customHeight="1" x14ac:dyDescent="0.25">
      <c r="D711" s="116"/>
      <c r="G711" s="111"/>
      <c r="H711" s="98"/>
      <c r="I711" s="99"/>
      <c r="J711" s="100"/>
      <c r="K711" s="101"/>
      <c r="M711" s="99"/>
      <c r="N711" s="100"/>
      <c r="O711" s="102"/>
      <c r="Q711" s="103"/>
      <c r="R711" s="100"/>
      <c r="S711" s="102"/>
      <c r="U711" s="100"/>
      <c r="V711" s="100"/>
      <c r="X711" s="104"/>
      <c r="Z711" s="100"/>
    </row>
    <row r="712" spans="4:26" ht="14.25" customHeight="1" x14ac:dyDescent="0.25">
      <c r="D712" s="116"/>
      <c r="G712" s="111"/>
      <c r="H712" s="98"/>
      <c r="I712" s="99"/>
      <c r="J712" s="100"/>
      <c r="K712" s="101"/>
      <c r="M712" s="99"/>
      <c r="N712" s="100"/>
      <c r="O712" s="102"/>
      <c r="Q712" s="103"/>
      <c r="R712" s="100"/>
      <c r="S712" s="102"/>
      <c r="U712" s="100"/>
      <c r="V712" s="100"/>
      <c r="X712" s="104"/>
      <c r="Z712" s="100"/>
    </row>
    <row r="713" spans="4:26" ht="14.25" customHeight="1" x14ac:dyDescent="0.25">
      <c r="D713" s="116"/>
      <c r="G713" s="111"/>
      <c r="H713" s="98"/>
      <c r="I713" s="99"/>
      <c r="J713" s="100"/>
      <c r="K713" s="101"/>
      <c r="M713" s="99"/>
      <c r="N713" s="100"/>
      <c r="O713" s="102"/>
      <c r="Q713" s="103"/>
      <c r="R713" s="100"/>
      <c r="S713" s="102"/>
      <c r="U713" s="100"/>
      <c r="V713" s="100"/>
      <c r="X713" s="104"/>
      <c r="Z713" s="100"/>
    </row>
    <row r="714" spans="4:26" ht="14.25" customHeight="1" x14ac:dyDescent="0.25">
      <c r="D714" s="116"/>
      <c r="G714" s="111"/>
      <c r="H714" s="98"/>
      <c r="I714" s="99"/>
      <c r="J714" s="100"/>
      <c r="K714" s="101"/>
      <c r="M714" s="99"/>
      <c r="N714" s="100"/>
      <c r="O714" s="102"/>
      <c r="Q714" s="103"/>
      <c r="R714" s="100"/>
      <c r="S714" s="102"/>
      <c r="U714" s="100"/>
      <c r="V714" s="100"/>
      <c r="X714" s="104"/>
      <c r="Z714" s="100"/>
    </row>
    <row r="715" spans="4:26" ht="14.25" customHeight="1" x14ac:dyDescent="0.25">
      <c r="D715" s="116"/>
      <c r="G715" s="111"/>
      <c r="H715" s="98"/>
      <c r="I715" s="99"/>
      <c r="J715" s="100"/>
      <c r="K715" s="101"/>
      <c r="M715" s="99"/>
      <c r="N715" s="100"/>
      <c r="O715" s="102"/>
      <c r="Q715" s="103"/>
      <c r="R715" s="100"/>
      <c r="S715" s="102"/>
      <c r="U715" s="100"/>
      <c r="V715" s="100"/>
      <c r="X715" s="104"/>
      <c r="Z715" s="100"/>
    </row>
    <row r="716" spans="4:26" ht="14.25" customHeight="1" x14ac:dyDescent="0.25">
      <c r="D716" s="116"/>
      <c r="G716" s="111"/>
      <c r="H716" s="98"/>
      <c r="I716" s="99"/>
      <c r="J716" s="100"/>
      <c r="K716" s="101"/>
      <c r="M716" s="99"/>
      <c r="N716" s="100"/>
      <c r="O716" s="102"/>
      <c r="Q716" s="103"/>
      <c r="R716" s="100"/>
      <c r="S716" s="102"/>
      <c r="U716" s="100"/>
      <c r="V716" s="100"/>
      <c r="X716" s="104"/>
      <c r="Z716" s="100"/>
    </row>
    <row r="717" spans="4:26" ht="14.25" customHeight="1" x14ac:dyDescent="0.25">
      <c r="D717" s="116"/>
      <c r="G717" s="111"/>
      <c r="H717" s="98"/>
      <c r="I717" s="99"/>
      <c r="J717" s="100"/>
      <c r="K717" s="101"/>
      <c r="M717" s="99"/>
      <c r="N717" s="100"/>
      <c r="O717" s="102"/>
      <c r="Q717" s="103"/>
      <c r="R717" s="100"/>
      <c r="S717" s="102"/>
      <c r="U717" s="100"/>
      <c r="V717" s="100"/>
      <c r="X717" s="104"/>
      <c r="Z717" s="100"/>
    </row>
    <row r="718" spans="4:26" ht="14.25" customHeight="1" x14ac:dyDescent="0.25">
      <c r="D718" s="116"/>
      <c r="G718" s="111"/>
      <c r="H718" s="98"/>
      <c r="I718" s="99"/>
      <c r="J718" s="100"/>
      <c r="K718" s="101"/>
      <c r="M718" s="99"/>
      <c r="N718" s="100"/>
      <c r="O718" s="102"/>
      <c r="Q718" s="103"/>
      <c r="R718" s="100"/>
      <c r="S718" s="102"/>
      <c r="U718" s="100"/>
      <c r="V718" s="100"/>
      <c r="X718" s="104"/>
      <c r="Z718" s="100"/>
    </row>
    <row r="719" spans="4:26" ht="14.25" customHeight="1" x14ac:dyDescent="0.25">
      <c r="D719" s="116"/>
      <c r="G719" s="111"/>
      <c r="H719" s="98"/>
      <c r="I719" s="99"/>
      <c r="J719" s="100"/>
      <c r="K719" s="101"/>
      <c r="M719" s="99"/>
      <c r="N719" s="100"/>
      <c r="O719" s="102"/>
      <c r="Q719" s="103"/>
      <c r="R719" s="100"/>
      <c r="S719" s="102"/>
      <c r="U719" s="100"/>
      <c r="V719" s="100"/>
      <c r="X719" s="104"/>
      <c r="Z719" s="100"/>
    </row>
    <row r="720" spans="4:26" ht="14.25" customHeight="1" x14ac:dyDescent="0.25">
      <c r="D720" s="116"/>
      <c r="G720" s="111"/>
      <c r="H720" s="98"/>
      <c r="I720" s="99"/>
      <c r="J720" s="100"/>
      <c r="K720" s="101"/>
      <c r="M720" s="99"/>
      <c r="N720" s="100"/>
      <c r="O720" s="102"/>
      <c r="Q720" s="103"/>
      <c r="R720" s="100"/>
      <c r="S720" s="102"/>
      <c r="U720" s="100"/>
      <c r="V720" s="100"/>
      <c r="X720" s="104"/>
      <c r="Z720" s="100"/>
    </row>
    <row r="721" spans="4:26" ht="14.25" customHeight="1" x14ac:dyDescent="0.25">
      <c r="D721" s="116"/>
      <c r="G721" s="111"/>
      <c r="H721" s="98"/>
      <c r="I721" s="99"/>
      <c r="J721" s="100"/>
      <c r="K721" s="101"/>
      <c r="M721" s="99"/>
      <c r="N721" s="100"/>
      <c r="O721" s="102"/>
      <c r="Q721" s="103"/>
      <c r="R721" s="100"/>
      <c r="S721" s="102"/>
      <c r="U721" s="100"/>
      <c r="V721" s="100"/>
      <c r="X721" s="104"/>
      <c r="Z721" s="100"/>
    </row>
    <row r="722" spans="4:26" ht="14.25" customHeight="1" x14ac:dyDescent="0.25">
      <c r="D722" s="116"/>
      <c r="G722" s="111"/>
      <c r="H722" s="98"/>
      <c r="I722" s="99"/>
      <c r="J722" s="100"/>
      <c r="K722" s="101"/>
      <c r="M722" s="99"/>
      <c r="N722" s="100"/>
      <c r="O722" s="102"/>
      <c r="Q722" s="103"/>
      <c r="R722" s="100"/>
      <c r="S722" s="102"/>
      <c r="U722" s="100"/>
      <c r="V722" s="100"/>
      <c r="X722" s="104"/>
      <c r="Z722" s="100"/>
    </row>
    <row r="723" spans="4:26" ht="14.25" customHeight="1" x14ac:dyDescent="0.25">
      <c r="D723" s="116"/>
      <c r="G723" s="111"/>
      <c r="H723" s="98"/>
      <c r="I723" s="99"/>
      <c r="J723" s="100"/>
      <c r="K723" s="101"/>
      <c r="M723" s="99"/>
      <c r="N723" s="100"/>
      <c r="O723" s="102"/>
      <c r="Q723" s="103"/>
      <c r="R723" s="100"/>
      <c r="S723" s="102"/>
      <c r="U723" s="100"/>
      <c r="V723" s="100"/>
      <c r="X723" s="104"/>
      <c r="Z723" s="100"/>
    </row>
    <row r="724" spans="4:26" ht="14.25" customHeight="1" x14ac:dyDescent="0.25">
      <c r="D724" s="116"/>
      <c r="G724" s="111"/>
      <c r="H724" s="98"/>
      <c r="I724" s="99"/>
      <c r="J724" s="100"/>
      <c r="K724" s="101"/>
      <c r="M724" s="99"/>
      <c r="N724" s="100"/>
      <c r="O724" s="102"/>
      <c r="Q724" s="103"/>
      <c r="R724" s="100"/>
      <c r="S724" s="102"/>
      <c r="U724" s="100"/>
      <c r="V724" s="100"/>
      <c r="X724" s="104"/>
      <c r="Z724" s="100"/>
    </row>
    <row r="725" spans="4:26" ht="14.25" customHeight="1" x14ac:dyDescent="0.25">
      <c r="D725" s="116"/>
      <c r="G725" s="111"/>
      <c r="H725" s="98"/>
      <c r="I725" s="99"/>
      <c r="J725" s="100"/>
      <c r="K725" s="101"/>
      <c r="M725" s="99"/>
      <c r="N725" s="100"/>
      <c r="O725" s="102"/>
      <c r="Q725" s="103"/>
      <c r="R725" s="100"/>
      <c r="S725" s="102"/>
      <c r="U725" s="100"/>
      <c r="V725" s="100"/>
      <c r="X725" s="104"/>
      <c r="Z725" s="100"/>
    </row>
    <row r="726" spans="4:26" ht="14.25" customHeight="1" x14ac:dyDescent="0.25">
      <c r="D726" s="116"/>
      <c r="G726" s="111"/>
      <c r="H726" s="98"/>
      <c r="I726" s="99"/>
      <c r="J726" s="100"/>
      <c r="K726" s="101"/>
      <c r="M726" s="99"/>
      <c r="N726" s="100"/>
      <c r="O726" s="102"/>
      <c r="Q726" s="103"/>
      <c r="R726" s="100"/>
      <c r="S726" s="102"/>
      <c r="U726" s="100"/>
      <c r="V726" s="100"/>
      <c r="X726" s="104"/>
      <c r="Z726" s="100"/>
    </row>
    <row r="727" spans="4:26" ht="14.25" customHeight="1" x14ac:dyDescent="0.25">
      <c r="D727" s="116"/>
      <c r="G727" s="111"/>
      <c r="H727" s="98"/>
      <c r="I727" s="99"/>
      <c r="J727" s="100"/>
      <c r="K727" s="101"/>
      <c r="M727" s="99"/>
      <c r="N727" s="100"/>
      <c r="O727" s="102"/>
      <c r="Q727" s="103"/>
      <c r="R727" s="100"/>
      <c r="S727" s="102"/>
      <c r="U727" s="100"/>
      <c r="V727" s="100"/>
      <c r="X727" s="104"/>
      <c r="Z727" s="100"/>
    </row>
    <row r="728" spans="4:26" ht="14.25" customHeight="1" x14ac:dyDescent="0.25">
      <c r="D728" s="116"/>
      <c r="G728" s="111"/>
      <c r="H728" s="98"/>
      <c r="I728" s="99"/>
      <c r="J728" s="100"/>
      <c r="K728" s="101"/>
      <c r="M728" s="99"/>
      <c r="N728" s="100"/>
      <c r="O728" s="102"/>
      <c r="Q728" s="103"/>
      <c r="R728" s="100"/>
      <c r="S728" s="102"/>
      <c r="U728" s="100"/>
      <c r="V728" s="100"/>
      <c r="X728" s="104"/>
      <c r="Z728" s="100"/>
    </row>
    <row r="729" spans="4:26" ht="14.25" customHeight="1" x14ac:dyDescent="0.25">
      <c r="D729" s="116"/>
      <c r="G729" s="111"/>
      <c r="H729" s="98"/>
      <c r="I729" s="99"/>
      <c r="J729" s="100"/>
      <c r="K729" s="101"/>
      <c r="M729" s="99"/>
      <c r="N729" s="100"/>
      <c r="O729" s="102"/>
      <c r="Q729" s="103"/>
      <c r="R729" s="100"/>
      <c r="S729" s="102"/>
      <c r="U729" s="100"/>
      <c r="V729" s="100"/>
      <c r="X729" s="104"/>
      <c r="Z729" s="100"/>
    </row>
    <row r="730" spans="4:26" ht="14.25" customHeight="1" x14ac:dyDescent="0.25">
      <c r="D730" s="116"/>
      <c r="G730" s="111"/>
      <c r="H730" s="98"/>
      <c r="I730" s="99"/>
      <c r="J730" s="100"/>
      <c r="K730" s="101"/>
      <c r="M730" s="99"/>
      <c r="N730" s="100"/>
      <c r="O730" s="102"/>
      <c r="Q730" s="103"/>
      <c r="R730" s="100"/>
      <c r="S730" s="102"/>
      <c r="U730" s="100"/>
      <c r="V730" s="100"/>
      <c r="X730" s="104"/>
      <c r="Z730" s="100"/>
    </row>
    <row r="731" spans="4:26" ht="14.25" customHeight="1" x14ac:dyDescent="0.25">
      <c r="D731" s="116"/>
      <c r="G731" s="111"/>
      <c r="H731" s="98"/>
      <c r="I731" s="99"/>
      <c r="J731" s="100"/>
      <c r="K731" s="101"/>
      <c r="M731" s="99"/>
      <c r="N731" s="100"/>
      <c r="O731" s="102"/>
      <c r="Q731" s="103"/>
      <c r="R731" s="100"/>
      <c r="S731" s="102"/>
      <c r="U731" s="100"/>
      <c r="V731" s="100"/>
      <c r="X731" s="104"/>
      <c r="Z731" s="100"/>
    </row>
    <row r="732" spans="4:26" ht="14.25" customHeight="1" x14ac:dyDescent="0.25">
      <c r="D732" s="116"/>
      <c r="G732" s="111"/>
      <c r="H732" s="98"/>
      <c r="I732" s="99"/>
      <c r="J732" s="100"/>
      <c r="K732" s="101"/>
      <c r="M732" s="99"/>
      <c r="N732" s="100"/>
      <c r="O732" s="102"/>
      <c r="Q732" s="103"/>
      <c r="R732" s="100"/>
      <c r="S732" s="102"/>
      <c r="U732" s="100"/>
      <c r="V732" s="100"/>
      <c r="X732" s="104"/>
      <c r="Z732" s="100"/>
    </row>
    <row r="733" spans="4:26" ht="14.25" customHeight="1" x14ac:dyDescent="0.25">
      <c r="D733" s="116"/>
      <c r="G733" s="111"/>
      <c r="H733" s="98"/>
      <c r="I733" s="99"/>
      <c r="J733" s="100"/>
      <c r="K733" s="101"/>
      <c r="M733" s="99"/>
      <c r="N733" s="100"/>
      <c r="O733" s="102"/>
      <c r="Q733" s="103"/>
      <c r="R733" s="100"/>
      <c r="S733" s="102"/>
      <c r="U733" s="100"/>
      <c r="V733" s="100"/>
      <c r="X733" s="104"/>
      <c r="Z733" s="100"/>
    </row>
    <row r="734" spans="4:26" ht="14.25" customHeight="1" x14ac:dyDescent="0.25">
      <c r="D734" s="116"/>
      <c r="G734" s="111"/>
      <c r="H734" s="98"/>
      <c r="I734" s="99"/>
      <c r="J734" s="100"/>
      <c r="K734" s="101"/>
      <c r="M734" s="99"/>
      <c r="N734" s="100"/>
      <c r="O734" s="102"/>
      <c r="Q734" s="103"/>
      <c r="R734" s="100"/>
      <c r="S734" s="102"/>
      <c r="U734" s="100"/>
      <c r="V734" s="100"/>
      <c r="X734" s="104"/>
      <c r="Z734" s="100"/>
    </row>
    <row r="735" spans="4:26" ht="14.25" customHeight="1" x14ac:dyDescent="0.25">
      <c r="D735" s="116"/>
      <c r="G735" s="111"/>
      <c r="H735" s="98"/>
      <c r="I735" s="99"/>
      <c r="J735" s="100"/>
      <c r="K735" s="101"/>
      <c r="M735" s="99"/>
      <c r="N735" s="100"/>
      <c r="O735" s="102"/>
      <c r="Q735" s="103"/>
      <c r="R735" s="100"/>
      <c r="S735" s="102"/>
      <c r="U735" s="100"/>
      <c r="V735" s="100"/>
      <c r="X735" s="104"/>
      <c r="Z735" s="100"/>
    </row>
    <row r="736" spans="4:26" ht="14.25" customHeight="1" x14ac:dyDescent="0.25">
      <c r="D736" s="116"/>
      <c r="G736" s="111"/>
      <c r="H736" s="98"/>
      <c r="I736" s="99"/>
      <c r="J736" s="100"/>
      <c r="K736" s="101"/>
      <c r="M736" s="99"/>
      <c r="N736" s="100"/>
      <c r="O736" s="102"/>
      <c r="Q736" s="103"/>
      <c r="R736" s="100"/>
      <c r="S736" s="102"/>
      <c r="U736" s="100"/>
      <c r="V736" s="100"/>
      <c r="X736" s="104"/>
      <c r="Z736" s="100"/>
    </row>
    <row r="737" spans="4:26" ht="14.25" customHeight="1" x14ac:dyDescent="0.25">
      <c r="D737" s="116"/>
      <c r="G737" s="111"/>
      <c r="H737" s="98"/>
      <c r="I737" s="99"/>
      <c r="J737" s="100"/>
      <c r="K737" s="101"/>
      <c r="M737" s="99"/>
      <c r="N737" s="100"/>
      <c r="O737" s="102"/>
      <c r="Q737" s="103"/>
      <c r="R737" s="100"/>
      <c r="S737" s="102"/>
      <c r="U737" s="100"/>
      <c r="V737" s="100"/>
      <c r="X737" s="104"/>
      <c r="Z737" s="100"/>
    </row>
    <row r="738" spans="4:26" ht="14.25" customHeight="1" x14ac:dyDescent="0.25">
      <c r="D738" s="116"/>
      <c r="G738" s="111"/>
      <c r="H738" s="98"/>
      <c r="I738" s="99"/>
      <c r="J738" s="100"/>
      <c r="K738" s="101"/>
      <c r="M738" s="99"/>
      <c r="N738" s="100"/>
      <c r="O738" s="102"/>
      <c r="Q738" s="103"/>
      <c r="R738" s="100"/>
      <c r="S738" s="102"/>
      <c r="U738" s="100"/>
      <c r="V738" s="100"/>
      <c r="X738" s="104"/>
      <c r="Z738" s="100"/>
    </row>
    <row r="739" spans="4:26" ht="14.25" customHeight="1" x14ac:dyDescent="0.25">
      <c r="D739" s="116"/>
      <c r="G739" s="111"/>
      <c r="H739" s="98"/>
      <c r="I739" s="99"/>
      <c r="J739" s="100"/>
      <c r="K739" s="101"/>
      <c r="M739" s="99"/>
      <c r="N739" s="100"/>
      <c r="O739" s="102"/>
      <c r="Q739" s="103"/>
      <c r="R739" s="100"/>
      <c r="S739" s="102"/>
      <c r="U739" s="100"/>
      <c r="V739" s="100"/>
      <c r="X739" s="104"/>
      <c r="Z739" s="100"/>
    </row>
    <row r="740" spans="4:26" ht="14.25" customHeight="1" x14ac:dyDescent="0.25">
      <c r="D740" s="116"/>
      <c r="G740" s="111"/>
      <c r="H740" s="98"/>
      <c r="I740" s="99"/>
      <c r="J740" s="100"/>
      <c r="K740" s="101"/>
      <c r="M740" s="99"/>
      <c r="N740" s="100"/>
      <c r="O740" s="102"/>
      <c r="Q740" s="103"/>
      <c r="R740" s="100"/>
      <c r="S740" s="102"/>
      <c r="U740" s="100"/>
      <c r="V740" s="100"/>
      <c r="X740" s="104"/>
      <c r="Z740" s="100"/>
    </row>
    <row r="741" spans="4:26" ht="14.25" customHeight="1" x14ac:dyDescent="0.25">
      <c r="D741" s="116"/>
      <c r="G741" s="111"/>
      <c r="H741" s="98"/>
      <c r="I741" s="99"/>
      <c r="J741" s="100"/>
      <c r="K741" s="101"/>
      <c r="M741" s="99"/>
      <c r="N741" s="100"/>
      <c r="O741" s="102"/>
      <c r="Q741" s="103"/>
      <c r="R741" s="100"/>
      <c r="S741" s="102"/>
      <c r="U741" s="100"/>
      <c r="V741" s="100"/>
      <c r="X741" s="104"/>
      <c r="Z741" s="100"/>
    </row>
    <row r="742" spans="4:26" ht="14.25" customHeight="1" x14ac:dyDescent="0.25">
      <c r="D742" s="116"/>
      <c r="G742" s="111"/>
      <c r="H742" s="98"/>
      <c r="I742" s="99"/>
      <c r="J742" s="100"/>
      <c r="K742" s="101"/>
      <c r="M742" s="99"/>
      <c r="N742" s="100"/>
      <c r="O742" s="102"/>
      <c r="Q742" s="103"/>
      <c r="R742" s="100"/>
      <c r="S742" s="102"/>
      <c r="U742" s="100"/>
      <c r="V742" s="100"/>
      <c r="X742" s="104"/>
      <c r="Z742" s="100"/>
    </row>
    <row r="743" spans="4:26" ht="14.25" customHeight="1" x14ac:dyDescent="0.25">
      <c r="D743" s="116"/>
      <c r="G743" s="111"/>
      <c r="H743" s="98"/>
      <c r="I743" s="99"/>
      <c r="J743" s="100"/>
      <c r="K743" s="101"/>
      <c r="M743" s="99"/>
      <c r="N743" s="100"/>
      <c r="O743" s="102"/>
      <c r="Q743" s="103"/>
      <c r="R743" s="100"/>
      <c r="S743" s="102"/>
      <c r="U743" s="100"/>
      <c r="V743" s="100"/>
      <c r="X743" s="104"/>
      <c r="Z743" s="100"/>
    </row>
    <row r="744" spans="4:26" ht="14.25" customHeight="1" x14ac:dyDescent="0.25">
      <c r="D744" s="116"/>
      <c r="G744" s="111"/>
      <c r="H744" s="98"/>
      <c r="I744" s="99"/>
      <c r="J744" s="100"/>
      <c r="K744" s="101"/>
      <c r="M744" s="99"/>
      <c r="N744" s="100"/>
      <c r="O744" s="102"/>
      <c r="Q744" s="103"/>
      <c r="R744" s="100"/>
      <c r="S744" s="102"/>
      <c r="U744" s="100"/>
      <c r="V744" s="100"/>
      <c r="X744" s="104"/>
      <c r="Z744" s="100"/>
    </row>
    <row r="745" spans="4:26" ht="14.25" customHeight="1" x14ac:dyDescent="0.25">
      <c r="D745" s="116"/>
      <c r="G745" s="111"/>
      <c r="H745" s="98"/>
      <c r="I745" s="99"/>
      <c r="J745" s="100"/>
      <c r="K745" s="101"/>
      <c r="M745" s="99"/>
      <c r="N745" s="100"/>
      <c r="O745" s="102"/>
      <c r="Q745" s="103"/>
      <c r="R745" s="100"/>
      <c r="S745" s="102"/>
      <c r="U745" s="100"/>
      <c r="V745" s="100"/>
      <c r="X745" s="104"/>
      <c r="Z745" s="100"/>
    </row>
    <row r="746" spans="4:26" ht="14.25" customHeight="1" x14ac:dyDescent="0.25">
      <c r="D746" s="116"/>
      <c r="G746" s="111"/>
      <c r="H746" s="98"/>
      <c r="I746" s="99"/>
      <c r="J746" s="100"/>
      <c r="K746" s="101"/>
      <c r="M746" s="99"/>
      <c r="N746" s="100"/>
      <c r="O746" s="102"/>
      <c r="Q746" s="103"/>
      <c r="R746" s="100"/>
      <c r="S746" s="102"/>
      <c r="U746" s="100"/>
      <c r="V746" s="100"/>
      <c r="X746" s="104"/>
      <c r="Z746" s="100"/>
    </row>
    <row r="747" spans="4:26" ht="14.25" customHeight="1" x14ac:dyDescent="0.25">
      <c r="D747" s="116"/>
      <c r="G747" s="111"/>
      <c r="H747" s="98"/>
      <c r="I747" s="99"/>
      <c r="J747" s="100"/>
      <c r="K747" s="101"/>
      <c r="M747" s="99"/>
      <c r="N747" s="100"/>
      <c r="O747" s="102"/>
      <c r="Q747" s="103"/>
      <c r="R747" s="100"/>
      <c r="S747" s="102"/>
      <c r="U747" s="100"/>
      <c r="V747" s="100"/>
      <c r="X747" s="104"/>
      <c r="Z747" s="100"/>
    </row>
    <row r="748" spans="4:26" ht="14.25" customHeight="1" x14ac:dyDescent="0.25">
      <c r="D748" s="116"/>
      <c r="G748" s="111"/>
      <c r="H748" s="98"/>
      <c r="I748" s="99"/>
      <c r="J748" s="100"/>
      <c r="K748" s="101"/>
      <c r="M748" s="99"/>
      <c r="N748" s="100"/>
      <c r="O748" s="102"/>
      <c r="Q748" s="103"/>
      <c r="R748" s="100"/>
      <c r="S748" s="102"/>
      <c r="U748" s="100"/>
      <c r="V748" s="100"/>
      <c r="X748" s="104"/>
      <c r="Z748" s="100"/>
    </row>
    <row r="749" spans="4:26" ht="14.25" customHeight="1" x14ac:dyDescent="0.25">
      <c r="D749" s="116"/>
      <c r="G749" s="111"/>
      <c r="H749" s="98"/>
      <c r="I749" s="99"/>
      <c r="J749" s="100"/>
      <c r="K749" s="101"/>
      <c r="M749" s="99"/>
      <c r="N749" s="100"/>
      <c r="O749" s="102"/>
      <c r="Q749" s="103"/>
      <c r="R749" s="100"/>
      <c r="S749" s="102"/>
      <c r="U749" s="100"/>
      <c r="V749" s="100"/>
      <c r="X749" s="104"/>
      <c r="Z749" s="100"/>
    </row>
    <row r="750" spans="4:26" ht="14.25" customHeight="1" x14ac:dyDescent="0.25">
      <c r="D750" s="116"/>
      <c r="G750" s="111"/>
      <c r="H750" s="98"/>
      <c r="I750" s="99"/>
      <c r="J750" s="100"/>
      <c r="K750" s="101"/>
      <c r="M750" s="99"/>
      <c r="N750" s="100"/>
      <c r="O750" s="102"/>
      <c r="Q750" s="103"/>
      <c r="R750" s="100"/>
      <c r="S750" s="102"/>
      <c r="U750" s="100"/>
      <c r="V750" s="100"/>
      <c r="X750" s="104"/>
      <c r="Z750" s="100"/>
    </row>
    <row r="751" spans="4:26" ht="14.25" customHeight="1" x14ac:dyDescent="0.25">
      <c r="D751" s="116"/>
      <c r="G751" s="111"/>
      <c r="H751" s="98"/>
      <c r="I751" s="99"/>
      <c r="J751" s="100"/>
      <c r="K751" s="101"/>
      <c r="M751" s="99"/>
      <c r="N751" s="100"/>
      <c r="O751" s="102"/>
      <c r="Q751" s="103"/>
      <c r="R751" s="100"/>
      <c r="S751" s="102"/>
      <c r="U751" s="100"/>
      <c r="V751" s="100"/>
      <c r="X751" s="104"/>
      <c r="Z751" s="100"/>
    </row>
    <row r="752" spans="4:26" ht="14.25" customHeight="1" x14ac:dyDescent="0.25">
      <c r="D752" s="116"/>
      <c r="G752" s="111"/>
      <c r="H752" s="98"/>
      <c r="I752" s="99"/>
      <c r="J752" s="100"/>
      <c r="K752" s="101"/>
      <c r="M752" s="99"/>
      <c r="N752" s="100"/>
      <c r="O752" s="102"/>
      <c r="Q752" s="103"/>
      <c r="R752" s="100"/>
      <c r="S752" s="102"/>
      <c r="U752" s="100"/>
      <c r="V752" s="100"/>
      <c r="X752" s="104"/>
      <c r="Z752" s="100"/>
    </row>
    <row r="753" spans="4:26" ht="14.25" customHeight="1" x14ac:dyDescent="0.25">
      <c r="D753" s="116"/>
      <c r="G753" s="111"/>
      <c r="H753" s="98"/>
      <c r="I753" s="99"/>
      <c r="J753" s="100"/>
      <c r="K753" s="101"/>
      <c r="M753" s="99"/>
      <c r="N753" s="100"/>
      <c r="O753" s="102"/>
      <c r="Q753" s="103"/>
      <c r="R753" s="100"/>
      <c r="S753" s="102"/>
      <c r="U753" s="100"/>
      <c r="V753" s="100"/>
      <c r="X753" s="104"/>
      <c r="Z753" s="100"/>
    </row>
    <row r="754" spans="4:26" ht="14.25" customHeight="1" x14ac:dyDescent="0.25">
      <c r="D754" s="116"/>
      <c r="G754" s="111"/>
      <c r="H754" s="98"/>
      <c r="I754" s="99"/>
      <c r="J754" s="100"/>
      <c r="K754" s="101"/>
      <c r="M754" s="99"/>
      <c r="N754" s="100"/>
      <c r="O754" s="102"/>
      <c r="Q754" s="103"/>
      <c r="R754" s="100"/>
      <c r="S754" s="102"/>
      <c r="U754" s="100"/>
      <c r="V754" s="100"/>
      <c r="X754" s="104"/>
      <c r="Z754" s="100"/>
    </row>
    <row r="755" spans="4:26" ht="14.25" customHeight="1" x14ac:dyDescent="0.25">
      <c r="D755" s="116"/>
      <c r="G755" s="111"/>
      <c r="H755" s="98"/>
      <c r="I755" s="99"/>
      <c r="J755" s="100"/>
      <c r="K755" s="101"/>
      <c r="M755" s="99"/>
      <c r="N755" s="100"/>
      <c r="O755" s="102"/>
      <c r="Q755" s="103"/>
      <c r="R755" s="100"/>
      <c r="S755" s="102"/>
      <c r="U755" s="100"/>
      <c r="V755" s="100"/>
      <c r="X755" s="104"/>
      <c r="Z755" s="100"/>
    </row>
    <row r="756" spans="4:26" ht="14.25" customHeight="1" x14ac:dyDescent="0.25">
      <c r="D756" s="116"/>
      <c r="G756" s="111"/>
      <c r="H756" s="98"/>
      <c r="I756" s="99"/>
      <c r="J756" s="100"/>
      <c r="K756" s="101"/>
      <c r="M756" s="99"/>
      <c r="N756" s="100"/>
      <c r="O756" s="102"/>
      <c r="Q756" s="103"/>
      <c r="R756" s="100"/>
      <c r="S756" s="102"/>
      <c r="U756" s="100"/>
      <c r="V756" s="100"/>
      <c r="X756" s="104"/>
      <c r="Z756" s="100"/>
    </row>
    <row r="757" spans="4:26" ht="14.25" customHeight="1" x14ac:dyDescent="0.25">
      <c r="D757" s="116"/>
      <c r="G757" s="111"/>
      <c r="H757" s="98"/>
      <c r="I757" s="99"/>
      <c r="J757" s="100"/>
      <c r="K757" s="101"/>
      <c r="M757" s="99"/>
      <c r="N757" s="100"/>
      <c r="O757" s="102"/>
      <c r="Q757" s="103"/>
      <c r="R757" s="100"/>
      <c r="S757" s="102"/>
      <c r="U757" s="100"/>
      <c r="V757" s="100"/>
      <c r="X757" s="104"/>
      <c r="Z757" s="100"/>
    </row>
    <row r="758" spans="4:26" ht="14.25" customHeight="1" x14ac:dyDescent="0.25">
      <c r="D758" s="116"/>
      <c r="G758" s="111"/>
      <c r="H758" s="98"/>
      <c r="I758" s="99"/>
      <c r="J758" s="100"/>
      <c r="K758" s="101"/>
      <c r="M758" s="99"/>
      <c r="N758" s="100"/>
      <c r="O758" s="102"/>
      <c r="Q758" s="103"/>
      <c r="R758" s="100"/>
      <c r="S758" s="102"/>
      <c r="U758" s="100"/>
      <c r="V758" s="100"/>
      <c r="X758" s="104"/>
      <c r="Z758" s="100"/>
    </row>
    <row r="759" spans="4:26" ht="14.25" customHeight="1" x14ac:dyDescent="0.25">
      <c r="D759" s="116"/>
      <c r="G759" s="111"/>
      <c r="H759" s="98"/>
      <c r="I759" s="99"/>
      <c r="J759" s="100"/>
      <c r="K759" s="101"/>
      <c r="M759" s="99"/>
      <c r="N759" s="100"/>
      <c r="O759" s="102"/>
      <c r="Q759" s="103"/>
      <c r="R759" s="100"/>
      <c r="S759" s="102"/>
      <c r="U759" s="100"/>
      <c r="V759" s="100"/>
      <c r="X759" s="104"/>
      <c r="Z759" s="100"/>
    </row>
    <row r="760" spans="4:26" ht="14.25" customHeight="1" x14ac:dyDescent="0.25">
      <c r="D760" s="116"/>
      <c r="G760" s="111"/>
      <c r="H760" s="98"/>
      <c r="I760" s="99"/>
      <c r="J760" s="100"/>
      <c r="K760" s="101"/>
      <c r="M760" s="99"/>
      <c r="N760" s="100"/>
      <c r="O760" s="102"/>
      <c r="Q760" s="103"/>
      <c r="R760" s="100"/>
      <c r="S760" s="102"/>
      <c r="U760" s="100"/>
      <c r="V760" s="100"/>
      <c r="X760" s="104"/>
      <c r="Z760" s="100"/>
    </row>
    <row r="761" spans="4:26" ht="14.25" customHeight="1" x14ac:dyDescent="0.25">
      <c r="D761" s="116"/>
      <c r="G761" s="111"/>
      <c r="H761" s="98"/>
      <c r="I761" s="99"/>
      <c r="J761" s="100"/>
      <c r="K761" s="101"/>
      <c r="M761" s="99"/>
      <c r="N761" s="100"/>
      <c r="O761" s="102"/>
      <c r="Q761" s="103"/>
      <c r="R761" s="100"/>
      <c r="S761" s="102"/>
      <c r="U761" s="100"/>
      <c r="V761" s="100"/>
      <c r="X761" s="104"/>
      <c r="Z761" s="100"/>
    </row>
    <row r="762" spans="4:26" ht="14.25" customHeight="1" x14ac:dyDescent="0.25">
      <c r="D762" s="116"/>
      <c r="G762" s="111"/>
      <c r="H762" s="98"/>
      <c r="I762" s="99"/>
      <c r="J762" s="100"/>
      <c r="K762" s="101"/>
      <c r="M762" s="99"/>
      <c r="N762" s="100"/>
      <c r="O762" s="102"/>
      <c r="Q762" s="103"/>
      <c r="R762" s="100"/>
      <c r="S762" s="102"/>
      <c r="U762" s="100"/>
      <c r="V762" s="100"/>
      <c r="X762" s="104"/>
      <c r="Z762" s="100"/>
    </row>
    <row r="763" spans="4:26" ht="14.25" customHeight="1" x14ac:dyDescent="0.25">
      <c r="D763" s="116"/>
      <c r="G763" s="111"/>
      <c r="H763" s="98"/>
      <c r="I763" s="99"/>
      <c r="J763" s="100"/>
      <c r="K763" s="101"/>
      <c r="M763" s="99"/>
      <c r="N763" s="100"/>
      <c r="O763" s="102"/>
      <c r="Q763" s="103"/>
      <c r="R763" s="100"/>
      <c r="S763" s="102"/>
      <c r="U763" s="100"/>
      <c r="V763" s="100"/>
      <c r="X763" s="104"/>
      <c r="Z763" s="100"/>
    </row>
    <row r="764" spans="4:26" ht="14.25" customHeight="1" x14ac:dyDescent="0.25">
      <c r="D764" s="116"/>
      <c r="G764" s="111"/>
      <c r="H764" s="98"/>
      <c r="I764" s="99"/>
      <c r="J764" s="100"/>
      <c r="K764" s="101"/>
      <c r="M764" s="99"/>
      <c r="N764" s="100"/>
      <c r="O764" s="102"/>
      <c r="Q764" s="103"/>
      <c r="R764" s="100"/>
      <c r="S764" s="102"/>
      <c r="U764" s="100"/>
      <c r="V764" s="100"/>
      <c r="X764" s="104"/>
      <c r="Z764" s="100"/>
    </row>
    <row r="765" spans="4:26" ht="14.25" customHeight="1" x14ac:dyDescent="0.25">
      <c r="D765" s="116"/>
      <c r="G765" s="111"/>
      <c r="H765" s="98"/>
      <c r="I765" s="99"/>
      <c r="J765" s="100"/>
      <c r="K765" s="101"/>
      <c r="M765" s="99"/>
      <c r="N765" s="100"/>
      <c r="O765" s="102"/>
      <c r="Q765" s="103"/>
      <c r="R765" s="100"/>
      <c r="S765" s="102"/>
      <c r="U765" s="100"/>
      <c r="V765" s="100"/>
      <c r="X765" s="104"/>
      <c r="Z765" s="100"/>
    </row>
    <row r="766" spans="4:26" ht="14.25" customHeight="1" x14ac:dyDescent="0.25">
      <c r="D766" s="116"/>
      <c r="G766" s="111"/>
      <c r="H766" s="98"/>
      <c r="I766" s="99"/>
      <c r="J766" s="100"/>
      <c r="K766" s="101"/>
      <c r="M766" s="99"/>
      <c r="N766" s="100"/>
      <c r="O766" s="102"/>
      <c r="Q766" s="103"/>
      <c r="R766" s="100"/>
      <c r="S766" s="102"/>
      <c r="U766" s="100"/>
      <c r="V766" s="100"/>
      <c r="X766" s="104"/>
      <c r="Z766" s="100"/>
    </row>
    <row r="767" spans="4:26" ht="14.25" customHeight="1" x14ac:dyDescent="0.25">
      <c r="D767" s="116"/>
      <c r="G767" s="111"/>
      <c r="H767" s="98"/>
      <c r="I767" s="99"/>
      <c r="J767" s="100"/>
      <c r="K767" s="101"/>
      <c r="M767" s="99"/>
      <c r="N767" s="100"/>
      <c r="O767" s="102"/>
      <c r="Q767" s="103"/>
      <c r="R767" s="100"/>
      <c r="S767" s="102"/>
      <c r="U767" s="100"/>
      <c r="V767" s="100"/>
      <c r="X767" s="104"/>
      <c r="Z767" s="100"/>
    </row>
    <row r="768" spans="4:26" ht="14.25" customHeight="1" x14ac:dyDescent="0.25">
      <c r="D768" s="116"/>
      <c r="G768" s="111"/>
      <c r="H768" s="98"/>
      <c r="I768" s="99"/>
      <c r="J768" s="100"/>
      <c r="K768" s="101"/>
      <c r="M768" s="99"/>
      <c r="N768" s="100"/>
      <c r="O768" s="102"/>
      <c r="Q768" s="103"/>
      <c r="R768" s="100"/>
      <c r="S768" s="102"/>
      <c r="U768" s="100"/>
      <c r="V768" s="100"/>
      <c r="X768" s="104"/>
      <c r="Z768" s="100"/>
    </row>
    <row r="769" spans="4:26" ht="14.25" customHeight="1" x14ac:dyDescent="0.25">
      <c r="D769" s="116"/>
      <c r="G769" s="111"/>
      <c r="H769" s="98"/>
      <c r="I769" s="99"/>
      <c r="J769" s="100"/>
      <c r="K769" s="101"/>
      <c r="M769" s="99"/>
      <c r="N769" s="100"/>
      <c r="O769" s="102"/>
      <c r="Q769" s="103"/>
      <c r="R769" s="100"/>
      <c r="S769" s="102"/>
      <c r="U769" s="100"/>
      <c r="V769" s="100"/>
      <c r="X769" s="104"/>
      <c r="Z769" s="100"/>
    </row>
    <row r="770" spans="4:26" ht="14.25" customHeight="1" x14ac:dyDescent="0.25">
      <c r="D770" s="116"/>
      <c r="G770" s="111"/>
      <c r="H770" s="98"/>
      <c r="I770" s="99"/>
      <c r="J770" s="100"/>
      <c r="K770" s="101"/>
      <c r="M770" s="99"/>
      <c r="N770" s="100"/>
      <c r="O770" s="102"/>
      <c r="Q770" s="103"/>
      <c r="R770" s="100"/>
      <c r="S770" s="102"/>
      <c r="U770" s="100"/>
      <c r="V770" s="100"/>
      <c r="X770" s="104"/>
      <c r="Z770" s="100"/>
    </row>
    <row r="771" spans="4:26" ht="14.25" customHeight="1" x14ac:dyDescent="0.25">
      <c r="D771" s="116"/>
      <c r="G771" s="111"/>
      <c r="H771" s="98"/>
      <c r="I771" s="99"/>
      <c r="J771" s="100"/>
      <c r="K771" s="101"/>
      <c r="M771" s="99"/>
      <c r="N771" s="100"/>
      <c r="O771" s="102"/>
      <c r="Q771" s="103"/>
      <c r="R771" s="100"/>
      <c r="S771" s="102"/>
      <c r="U771" s="100"/>
      <c r="V771" s="100"/>
      <c r="X771" s="104"/>
      <c r="Z771" s="100"/>
    </row>
    <row r="772" spans="4:26" ht="14.25" customHeight="1" x14ac:dyDescent="0.25">
      <c r="D772" s="116"/>
      <c r="G772" s="111"/>
      <c r="H772" s="98"/>
      <c r="I772" s="99"/>
      <c r="J772" s="100"/>
      <c r="K772" s="101"/>
      <c r="M772" s="99"/>
      <c r="N772" s="100"/>
      <c r="O772" s="102"/>
      <c r="Q772" s="103"/>
      <c r="R772" s="100"/>
      <c r="S772" s="102"/>
      <c r="U772" s="100"/>
      <c r="V772" s="100"/>
      <c r="X772" s="104"/>
      <c r="Z772" s="100"/>
    </row>
    <row r="773" spans="4:26" ht="14.25" customHeight="1" x14ac:dyDescent="0.25">
      <c r="D773" s="116"/>
      <c r="G773" s="111"/>
      <c r="H773" s="98"/>
      <c r="I773" s="99"/>
      <c r="J773" s="100"/>
      <c r="K773" s="101"/>
      <c r="M773" s="99"/>
      <c r="N773" s="100"/>
      <c r="O773" s="102"/>
      <c r="Q773" s="103"/>
      <c r="R773" s="100"/>
      <c r="S773" s="102"/>
      <c r="U773" s="100"/>
      <c r="V773" s="100"/>
      <c r="X773" s="104"/>
      <c r="Z773" s="100"/>
    </row>
    <row r="774" spans="4:26" ht="14.25" customHeight="1" x14ac:dyDescent="0.25">
      <c r="D774" s="116"/>
      <c r="G774" s="111"/>
      <c r="H774" s="98"/>
      <c r="I774" s="99"/>
      <c r="J774" s="100"/>
      <c r="K774" s="101"/>
      <c r="M774" s="99"/>
      <c r="N774" s="100"/>
      <c r="O774" s="102"/>
      <c r="Q774" s="103"/>
      <c r="R774" s="100"/>
      <c r="S774" s="102"/>
      <c r="U774" s="100"/>
      <c r="V774" s="100"/>
      <c r="X774" s="104"/>
      <c r="Z774" s="100"/>
    </row>
    <row r="775" spans="4:26" ht="14.25" customHeight="1" x14ac:dyDescent="0.25">
      <c r="D775" s="116"/>
      <c r="G775" s="111"/>
      <c r="H775" s="98"/>
      <c r="I775" s="99"/>
      <c r="J775" s="100"/>
      <c r="K775" s="101"/>
      <c r="M775" s="99"/>
      <c r="N775" s="100"/>
      <c r="O775" s="102"/>
      <c r="Q775" s="103"/>
      <c r="R775" s="100"/>
      <c r="S775" s="102"/>
      <c r="U775" s="100"/>
      <c r="V775" s="100"/>
      <c r="X775" s="104"/>
      <c r="Z775" s="100"/>
    </row>
    <row r="776" spans="4:26" ht="14.25" customHeight="1" x14ac:dyDescent="0.25">
      <c r="D776" s="116"/>
      <c r="G776" s="111"/>
      <c r="H776" s="98"/>
      <c r="I776" s="99"/>
      <c r="J776" s="100"/>
      <c r="K776" s="101"/>
      <c r="M776" s="99"/>
      <c r="N776" s="100"/>
      <c r="O776" s="102"/>
      <c r="Q776" s="103"/>
      <c r="R776" s="100"/>
      <c r="S776" s="102"/>
      <c r="U776" s="100"/>
      <c r="V776" s="100"/>
      <c r="X776" s="104"/>
      <c r="Z776" s="100"/>
    </row>
    <row r="777" spans="4:26" ht="14.25" customHeight="1" x14ac:dyDescent="0.25">
      <c r="D777" s="116"/>
      <c r="G777" s="111"/>
      <c r="H777" s="98"/>
      <c r="I777" s="99"/>
      <c r="J777" s="100"/>
      <c r="K777" s="101"/>
      <c r="M777" s="99"/>
      <c r="N777" s="100"/>
      <c r="O777" s="102"/>
      <c r="Q777" s="103"/>
      <c r="R777" s="100"/>
      <c r="S777" s="102"/>
      <c r="U777" s="100"/>
      <c r="V777" s="100"/>
      <c r="X777" s="104"/>
      <c r="Z777" s="100"/>
    </row>
    <row r="778" spans="4:26" ht="14.25" customHeight="1" x14ac:dyDescent="0.25">
      <c r="D778" s="116"/>
      <c r="G778" s="111"/>
      <c r="H778" s="98"/>
      <c r="I778" s="99"/>
      <c r="J778" s="100"/>
      <c r="K778" s="101"/>
      <c r="M778" s="99"/>
      <c r="N778" s="100"/>
      <c r="O778" s="102"/>
      <c r="Q778" s="103"/>
      <c r="R778" s="100"/>
      <c r="S778" s="102"/>
      <c r="U778" s="100"/>
      <c r="V778" s="100"/>
      <c r="X778" s="104"/>
      <c r="Z778" s="100"/>
    </row>
    <row r="779" spans="4:26" ht="14.25" customHeight="1" x14ac:dyDescent="0.25">
      <c r="D779" s="116"/>
      <c r="G779" s="111"/>
      <c r="H779" s="98"/>
      <c r="I779" s="99"/>
      <c r="J779" s="100"/>
      <c r="K779" s="101"/>
      <c r="M779" s="99"/>
      <c r="N779" s="100"/>
      <c r="O779" s="102"/>
      <c r="Q779" s="103"/>
      <c r="R779" s="100"/>
      <c r="S779" s="102"/>
      <c r="U779" s="100"/>
      <c r="V779" s="100"/>
      <c r="X779" s="104"/>
      <c r="Z779" s="100"/>
    </row>
    <row r="780" spans="4:26" ht="14.25" customHeight="1" x14ac:dyDescent="0.25">
      <c r="D780" s="116"/>
      <c r="G780" s="111"/>
      <c r="H780" s="98"/>
      <c r="I780" s="99"/>
      <c r="J780" s="100"/>
      <c r="K780" s="101"/>
      <c r="M780" s="99"/>
      <c r="N780" s="100"/>
      <c r="O780" s="102"/>
      <c r="Q780" s="103"/>
      <c r="R780" s="100"/>
      <c r="S780" s="102"/>
      <c r="U780" s="100"/>
      <c r="V780" s="100"/>
      <c r="X780" s="104"/>
      <c r="Z780" s="100"/>
    </row>
    <row r="781" spans="4:26" ht="14.25" customHeight="1" x14ac:dyDescent="0.25">
      <c r="D781" s="116"/>
      <c r="G781" s="111"/>
      <c r="H781" s="98"/>
      <c r="I781" s="99"/>
      <c r="J781" s="100"/>
      <c r="K781" s="101"/>
      <c r="M781" s="99"/>
      <c r="N781" s="100"/>
      <c r="O781" s="102"/>
      <c r="Q781" s="103"/>
      <c r="R781" s="100"/>
      <c r="S781" s="102"/>
      <c r="U781" s="100"/>
      <c r="V781" s="100"/>
      <c r="X781" s="104"/>
      <c r="Z781" s="100"/>
    </row>
    <row r="782" spans="4:26" ht="14.25" customHeight="1" x14ac:dyDescent="0.25">
      <c r="D782" s="116"/>
      <c r="G782" s="111"/>
      <c r="H782" s="98"/>
      <c r="I782" s="99"/>
      <c r="J782" s="100"/>
      <c r="K782" s="101"/>
      <c r="M782" s="99"/>
      <c r="N782" s="100"/>
      <c r="O782" s="102"/>
      <c r="Q782" s="103"/>
      <c r="R782" s="100"/>
      <c r="S782" s="102"/>
      <c r="U782" s="100"/>
      <c r="V782" s="100"/>
      <c r="X782" s="104"/>
      <c r="Z782" s="100"/>
    </row>
    <row r="783" spans="4:26" ht="14.25" customHeight="1" x14ac:dyDescent="0.25">
      <c r="D783" s="116"/>
      <c r="G783" s="111"/>
      <c r="H783" s="98"/>
      <c r="I783" s="99"/>
      <c r="J783" s="100"/>
      <c r="K783" s="101"/>
      <c r="M783" s="99"/>
      <c r="N783" s="100"/>
      <c r="O783" s="102"/>
      <c r="Q783" s="103"/>
      <c r="R783" s="100"/>
      <c r="S783" s="102"/>
      <c r="U783" s="100"/>
      <c r="V783" s="100"/>
      <c r="X783" s="104"/>
      <c r="Z783" s="100"/>
    </row>
    <row r="784" spans="4:26" ht="14.25" customHeight="1" x14ac:dyDescent="0.25">
      <c r="D784" s="116"/>
      <c r="G784" s="111"/>
      <c r="H784" s="98"/>
      <c r="I784" s="99"/>
      <c r="J784" s="100"/>
      <c r="K784" s="101"/>
      <c r="M784" s="99"/>
      <c r="N784" s="100"/>
      <c r="O784" s="102"/>
      <c r="Q784" s="103"/>
      <c r="R784" s="100"/>
      <c r="S784" s="102"/>
      <c r="U784" s="100"/>
      <c r="V784" s="100"/>
      <c r="X784" s="104"/>
      <c r="Z784" s="100"/>
    </row>
    <row r="785" spans="4:26" ht="14.25" customHeight="1" x14ac:dyDescent="0.25">
      <c r="D785" s="116"/>
      <c r="G785" s="111"/>
      <c r="H785" s="98"/>
      <c r="I785" s="99"/>
      <c r="J785" s="100"/>
      <c r="K785" s="101"/>
      <c r="M785" s="99"/>
      <c r="N785" s="100"/>
      <c r="O785" s="102"/>
      <c r="Q785" s="103"/>
      <c r="R785" s="100"/>
      <c r="S785" s="102"/>
      <c r="U785" s="100"/>
      <c r="V785" s="100"/>
      <c r="X785" s="104"/>
      <c r="Z785" s="100"/>
    </row>
    <row r="786" spans="4:26" ht="14.25" customHeight="1" x14ac:dyDescent="0.25">
      <c r="D786" s="116"/>
      <c r="G786" s="111"/>
      <c r="H786" s="98"/>
      <c r="I786" s="99"/>
      <c r="J786" s="100"/>
      <c r="K786" s="101"/>
      <c r="M786" s="99"/>
      <c r="N786" s="100"/>
      <c r="O786" s="102"/>
      <c r="Q786" s="103"/>
      <c r="R786" s="100"/>
      <c r="S786" s="102"/>
      <c r="U786" s="100"/>
      <c r="V786" s="100"/>
      <c r="X786" s="104"/>
      <c r="Z786" s="100"/>
    </row>
    <row r="787" spans="4:26" ht="14.25" customHeight="1" x14ac:dyDescent="0.25">
      <c r="D787" s="116"/>
      <c r="G787" s="111"/>
      <c r="H787" s="98"/>
      <c r="I787" s="99"/>
      <c r="J787" s="100"/>
      <c r="K787" s="101"/>
      <c r="M787" s="99"/>
      <c r="N787" s="100"/>
      <c r="O787" s="102"/>
      <c r="Q787" s="103"/>
      <c r="R787" s="100"/>
      <c r="S787" s="102"/>
      <c r="U787" s="100"/>
      <c r="V787" s="100"/>
      <c r="X787" s="104"/>
      <c r="Z787" s="100"/>
    </row>
    <row r="788" spans="4:26" ht="14.25" customHeight="1" x14ac:dyDescent="0.25">
      <c r="D788" s="116"/>
      <c r="G788" s="111"/>
      <c r="H788" s="98"/>
      <c r="I788" s="99"/>
      <c r="J788" s="100"/>
      <c r="K788" s="101"/>
      <c r="M788" s="99"/>
      <c r="N788" s="100"/>
      <c r="O788" s="102"/>
      <c r="Q788" s="103"/>
      <c r="R788" s="100"/>
      <c r="S788" s="102"/>
      <c r="U788" s="100"/>
      <c r="V788" s="100"/>
      <c r="X788" s="104"/>
      <c r="Z788" s="100"/>
    </row>
    <row r="789" spans="4:26" ht="14.25" customHeight="1" x14ac:dyDescent="0.25">
      <c r="D789" s="116"/>
      <c r="G789" s="111"/>
      <c r="H789" s="98"/>
      <c r="I789" s="99"/>
      <c r="J789" s="100"/>
      <c r="K789" s="101"/>
      <c r="M789" s="99"/>
      <c r="N789" s="100"/>
      <c r="O789" s="102"/>
      <c r="Q789" s="103"/>
      <c r="R789" s="100"/>
      <c r="S789" s="102"/>
      <c r="U789" s="100"/>
      <c r="V789" s="100"/>
      <c r="X789" s="104"/>
      <c r="Z789" s="100"/>
    </row>
    <row r="790" spans="4:26" ht="14.25" customHeight="1" x14ac:dyDescent="0.25">
      <c r="D790" s="116"/>
      <c r="G790" s="111"/>
      <c r="H790" s="98"/>
      <c r="I790" s="99"/>
      <c r="J790" s="100"/>
      <c r="K790" s="101"/>
      <c r="M790" s="99"/>
      <c r="N790" s="100"/>
      <c r="O790" s="102"/>
      <c r="Q790" s="103"/>
      <c r="R790" s="100"/>
      <c r="S790" s="102"/>
      <c r="U790" s="100"/>
      <c r="V790" s="100"/>
      <c r="X790" s="104"/>
      <c r="Z790" s="100"/>
    </row>
    <row r="791" spans="4:26" ht="14.25" customHeight="1" x14ac:dyDescent="0.25">
      <c r="D791" s="116"/>
      <c r="G791" s="111"/>
      <c r="H791" s="98"/>
      <c r="I791" s="99"/>
      <c r="J791" s="100"/>
      <c r="K791" s="101"/>
      <c r="M791" s="99"/>
      <c r="N791" s="100"/>
      <c r="O791" s="102"/>
      <c r="Q791" s="103"/>
      <c r="R791" s="100"/>
      <c r="S791" s="102"/>
      <c r="U791" s="100"/>
      <c r="V791" s="100"/>
      <c r="X791" s="104"/>
      <c r="Z791" s="100"/>
    </row>
    <row r="792" spans="4:26" ht="14.25" customHeight="1" x14ac:dyDescent="0.25">
      <c r="D792" s="116"/>
      <c r="G792" s="111"/>
      <c r="H792" s="98"/>
      <c r="I792" s="99"/>
      <c r="J792" s="100"/>
      <c r="K792" s="101"/>
      <c r="M792" s="99"/>
      <c r="N792" s="100"/>
      <c r="O792" s="102"/>
      <c r="Q792" s="103"/>
      <c r="R792" s="100"/>
      <c r="S792" s="102"/>
      <c r="U792" s="100"/>
      <c r="V792" s="100"/>
      <c r="X792" s="104"/>
      <c r="Z792" s="100"/>
    </row>
    <row r="793" spans="4:26" ht="14.25" customHeight="1" x14ac:dyDescent="0.25">
      <c r="D793" s="116"/>
      <c r="G793" s="111"/>
      <c r="H793" s="98"/>
      <c r="I793" s="99"/>
      <c r="J793" s="100"/>
      <c r="K793" s="101"/>
      <c r="M793" s="99"/>
      <c r="N793" s="100"/>
      <c r="O793" s="102"/>
      <c r="Q793" s="103"/>
      <c r="R793" s="100"/>
      <c r="S793" s="102"/>
      <c r="U793" s="100"/>
      <c r="V793" s="100"/>
      <c r="X793" s="104"/>
      <c r="Z793" s="100"/>
    </row>
    <row r="794" spans="4:26" ht="14.25" customHeight="1" x14ac:dyDescent="0.25">
      <c r="D794" s="116"/>
      <c r="G794" s="111"/>
      <c r="H794" s="98"/>
      <c r="I794" s="99"/>
      <c r="J794" s="100"/>
      <c r="K794" s="101"/>
      <c r="M794" s="99"/>
      <c r="N794" s="100"/>
      <c r="O794" s="102"/>
      <c r="Q794" s="103"/>
      <c r="R794" s="100"/>
      <c r="S794" s="102"/>
      <c r="U794" s="100"/>
      <c r="V794" s="100"/>
      <c r="X794" s="104"/>
      <c r="Z794" s="100"/>
    </row>
    <row r="795" spans="4:26" ht="14.25" customHeight="1" x14ac:dyDescent="0.25">
      <c r="D795" s="116"/>
      <c r="G795" s="111"/>
      <c r="H795" s="98"/>
      <c r="I795" s="99"/>
      <c r="J795" s="100"/>
      <c r="K795" s="101"/>
      <c r="M795" s="99"/>
      <c r="N795" s="100"/>
      <c r="O795" s="102"/>
      <c r="Q795" s="103"/>
      <c r="R795" s="100"/>
      <c r="S795" s="102"/>
      <c r="U795" s="100"/>
      <c r="V795" s="100"/>
      <c r="X795" s="104"/>
      <c r="Z795" s="100"/>
    </row>
    <row r="796" spans="4:26" ht="14.25" customHeight="1" x14ac:dyDescent="0.25">
      <c r="D796" s="116"/>
      <c r="G796" s="111"/>
      <c r="H796" s="98"/>
      <c r="I796" s="99"/>
      <c r="J796" s="100"/>
      <c r="K796" s="101"/>
      <c r="M796" s="99"/>
      <c r="N796" s="100"/>
      <c r="O796" s="102"/>
      <c r="Q796" s="103"/>
      <c r="R796" s="100"/>
      <c r="S796" s="102"/>
      <c r="U796" s="100"/>
      <c r="V796" s="100"/>
      <c r="X796" s="104"/>
      <c r="Z796" s="100"/>
    </row>
    <row r="797" spans="4:26" ht="14.25" customHeight="1" x14ac:dyDescent="0.25">
      <c r="D797" s="116"/>
      <c r="G797" s="111"/>
      <c r="H797" s="98"/>
      <c r="I797" s="99"/>
      <c r="J797" s="100"/>
      <c r="K797" s="101"/>
      <c r="M797" s="99"/>
      <c r="N797" s="100"/>
      <c r="O797" s="102"/>
      <c r="Q797" s="103"/>
      <c r="R797" s="100"/>
      <c r="S797" s="102"/>
      <c r="U797" s="100"/>
      <c r="V797" s="100"/>
      <c r="X797" s="104"/>
      <c r="Z797" s="100"/>
    </row>
    <row r="798" spans="4:26" ht="14.25" customHeight="1" x14ac:dyDescent="0.25">
      <c r="D798" s="116"/>
      <c r="G798" s="111"/>
      <c r="H798" s="98"/>
      <c r="I798" s="99"/>
      <c r="J798" s="100"/>
      <c r="K798" s="101"/>
      <c r="M798" s="99"/>
      <c r="N798" s="100"/>
      <c r="O798" s="102"/>
      <c r="Q798" s="103"/>
      <c r="R798" s="100"/>
      <c r="S798" s="102"/>
      <c r="U798" s="100"/>
      <c r="V798" s="100"/>
      <c r="X798" s="104"/>
      <c r="Z798" s="100"/>
    </row>
    <row r="799" spans="4:26" ht="14.25" customHeight="1" x14ac:dyDescent="0.25">
      <c r="D799" s="116"/>
      <c r="G799" s="111"/>
      <c r="H799" s="98"/>
      <c r="I799" s="99"/>
      <c r="J799" s="100"/>
      <c r="K799" s="101"/>
      <c r="M799" s="99"/>
      <c r="N799" s="100"/>
      <c r="O799" s="102"/>
      <c r="Q799" s="103"/>
      <c r="R799" s="100"/>
      <c r="S799" s="102"/>
      <c r="U799" s="100"/>
      <c r="V799" s="100"/>
      <c r="X799" s="104"/>
      <c r="Z799" s="100"/>
    </row>
    <row r="800" spans="4:26" ht="14.25" customHeight="1" x14ac:dyDescent="0.25">
      <c r="D800" s="116"/>
      <c r="G800" s="111"/>
      <c r="H800" s="98"/>
      <c r="I800" s="99"/>
      <c r="J800" s="100"/>
      <c r="K800" s="101"/>
      <c r="M800" s="99"/>
      <c r="N800" s="100"/>
      <c r="O800" s="102"/>
      <c r="Q800" s="103"/>
      <c r="R800" s="100"/>
      <c r="S800" s="102"/>
      <c r="U800" s="100"/>
      <c r="V800" s="100"/>
      <c r="X800" s="104"/>
      <c r="Z800" s="100"/>
    </row>
    <row r="801" spans="4:26" ht="14.25" customHeight="1" x14ac:dyDescent="0.25">
      <c r="D801" s="116"/>
      <c r="G801" s="111"/>
      <c r="H801" s="98"/>
      <c r="I801" s="99"/>
      <c r="J801" s="100"/>
      <c r="K801" s="101"/>
      <c r="M801" s="99"/>
      <c r="N801" s="100"/>
      <c r="O801" s="102"/>
      <c r="Q801" s="103"/>
      <c r="R801" s="100"/>
      <c r="S801" s="102"/>
      <c r="U801" s="100"/>
      <c r="V801" s="100"/>
      <c r="X801" s="104"/>
      <c r="Z801" s="100"/>
    </row>
    <row r="802" spans="4:26" ht="14.25" customHeight="1" x14ac:dyDescent="0.25">
      <c r="D802" s="116"/>
      <c r="G802" s="111"/>
      <c r="H802" s="98"/>
      <c r="I802" s="99"/>
      <c r="J802" s="100"/>
      <c r="K802" s="101"/>
      <c r="M802" s="99"/>
      <c r="N802" s="100"/>
      <c r="O802" s="102"/>
      <c r="Q802" s="103"/>
      <c r="R802" s="100"/>
      <c r="S802" s="102"/>
      <c r="U802" s="100"/>
      <c r="V802" s="100"/>
      <c r="X802" s="104"/>
      <c r="Z802" s="100"/>
    </row>
    <row r="803" spans="4:26" ht="14.25" customHeight="1" x14ac:dyDescent="0.25">
      <c r="D803" s="116"/>
      <c r="G803" s="111"/>
      <c r="H803" s="98"/>
      <c r="I803" s="99"/>
      <c r="J803" s="100"/>
      <c r="K803" s="101"/>
      <c r="M803" s="99"/>
      <c r="N803" s="100"/>
      <c r="O803" s="102"/>
      <c r="Q803" s="103"/>
      <c r="R803" s="100"/>
      <c r="S803" s="102"/>
      <c r="U803" s="100"/>
      <c r="V803" s="100"/>
      <c r="X803" s="104"/>
      <c r="Z803" s="100"/>
    </row>
    <row r="804" spans="4:26" ht="14.25" customHeight="1" x14ac:dyDescent="0.25">
      <c r="D804" s="116"/>
      <c r="G804" s="111"/>
      <c r="H804" s="98"/>
      <c r="I804" s="99"/>
      <c r="J804" s="100"/>
      <c r="K804" s="101"/>
      <c r="M804" s="99"/>
      <c r="N804" s="100"/>
      <c r="O804" s="102"/>
      <c r="Q804" s="103"/>
      <c r="R804" s="100"/>
      <c r="S804" s="102"/>
      <c r="U804" s="100"/>
      <c r="V804" s="100"/>
      <c r="X804" s="104"/>
      <c r="Z804" s="100"/>
    </row>
    <row r="805" spans="4:26" ht="14.25" customHeight="1" x14ac:dyDescent="0.25">
      <c r="D805" s="116"/>
      <c r="G805" s="111"/>
      <c r="H805" s="98"/>
      <c r="I805" s="99"/>
      <c r="J805" s="100"/>
      <c r="K805" s="101"/>
      <c r="M805" s="99"/>
      <c r="N805" s="100"/>
      <c r="O805" s="102"/>
      <c r="Q805" s="103"/>
      <c r="R805" s="100"/>
      <c r="S805" s="102"/>
      <c r="U805" s="100"/>
      <c r="V805" s="100"/>
      <c r="X805" s="104"/>
      <c r="Z805" s="100"/>
    </row>
    <row r="806" spans="4:26" ht="14.25" customHeight="1" x14ac:dyDescent="0.25">
      <c r="D806" s="116"/>
      <c r="G806" s="111"/>
      <c r="H806" s="98"/>
      <c r="I806" s="99"/>
      <c r="J806" s="100"/>
      <c r="K806" s="101"/>
      <c r="M806" s="99"/>
      <c r="N806" s="100"/>
      <c r="O806" s="102"/>
      <c r="Q806" s="103"/>
      <c r="R806" s="100"/>
      <c r="S806" s="102"/>
      <c r="U806" s="100"/>
      <c r="V806" s="100"/>
      <c r="X806" s="104"/>
      <c r="Z806" s="100"/>
    </row>
    <row r="807" spans="4:26" ht="14.25" customHeight="1" x14ac:dyDescent="0.25">
      <c r="D807" s="116"/>
      <c r="G807" s="111"/>
      <c r="H807" s="98"/>
      <c r="I807" s="99"/>
      <c r="J807" s="100"/>
      <c r="K807" s="101"/>
      <c r="M807" s="99"/>
      <c r="N807" s="100"/>
      <c r="O807" s="102"/>
      <c r="Q807" s="103"/>
      <c r="R807" s="100"/>
      <c r="S807" s="102"/>
      <c r="U807" s="100"/>
      <c r="V807" s="100"/>
      <c r="X807" s="104"/>
      <c r="Z807" s="100"/>
    </row>
    <row r="808" spans="4:26" ht="14.25" customHeight="1" x14ac:dyDescent="0.25">
      <c r="D808" s="116"/>
      <c r="G808" s="111"/>
      <c r="H808" s="98"/>
      <c r="I808" s="99"/>
      <c r="J808" s="100"/>
      <c r="K808" s="101"/>
      <c r="M808" s="99"/>
      <c r="N808" s="100"/>
      <c r="O808" s="102"/>
      <c r="Q808" s="103"/>
      <c r="R808" s="100"/>
      <c r="S808" s="102"/>
      <c r="U808" s="100"/>
      <c r="V808" s="100"/>
      <c r="X808" s="104"/>
      <c r="Z808" s="100"/>
    </row>
    <row r="809" spans="4:26" ht="14.25" customHeight="1" x14ac:dyDescent="0.25">
      <c r="D809" s="116"/>
      <c r="G809" s="111"/>
      <c r="H809" s="98"/>
      <c r="I809" s="99"/>
      <c r="J809" s="100"/>
      <c r="K809" s="101"/>
      <c r="M809" s="99"/>
      <c r="N809" s="100"/>
      <c r="O809" s="102"/>
      <c r="Q809" s="103"/>
      <c r="R809" s="100"/>
      <c r="S809" s="102"/>
      <c r="U809" s="100"/>
      <c r="V809" s="100"/>
      <c r="X809" s="104"/>
      <c r="Z809" s="100"/>
    </row>
    <row r="810" spans="4:26" ht="14.25" customHeight="1" x14ac:dyDescent="0.25">
      <c r="D810" s="116"/>
      <c r="G810" s="111"/>
      <c r="H810" s="98"/>
      <c r="I810" s="99"/>
      <c r="J810" s="100"/>
      <c r="K810" s="101"/>
      <c r="M810" s="99"/>
      <c r="N810" s="100"/>
      <c r="O810" s="102"/>
      <c r="Q810" s="103"/>
      <c r="R810" s="100"/>
      <c r="S810" s="102"/>
      <c r="U810" s="100"/>
      <c r="V810" s="100"/>
      <c r="X810" s="104"/>
      <c r="Z810" s="100"/>
    </row>
    <row r="811" spans="4:26" ht="14.25" customHeight="1" x14ac:dyDescent="0.25">
      <c r="D811" s="116"/>
      <c r="G811" s="111"/>
      <c r="H811" s="98"/>
      <c r="I811" s="99"/>
      <c r="J811" s="100"/>
      <c r="K811" s="101"/>
      <c r="M811" s="99"/>
      <c r="N811" s="100"/>
      <c r="O811" s="102"/>
      <c r="Q811" s="103"/>
      <c r="R811" s="100"/>
      <c r="S811" s="102"/>
      <c r="U811" s="100"/>
      <c r="V811" s="100"/>
      <c r="X811" s="104"/>
      <c r="Z811" s="100"/>
    </row>
    <row r="812" spans="4:26" ht="14.25" customHeight="1" x14ac:dyDescent="0.25">
      <c r="D812" s="116"/>
      <c r="G812" s="111"/>
      <c r="H812" s="98"/>
      <c r="I812" s="99"/>
      <c r="J812" s="100"/>
      <c r="K812" s="101"/>
      <c r="M812" s="99"/>
      <c r="N812" s="100"/>
      <c r="O812" s="102"/>
      <c r="Q812" s="103"/>
      <c r="R812" s="100"/>
      <c r="S812" s="102"/>
      <c r="U812" s="100"/>
      <c r="V812" s="100"/>
      <c r="X812" s="104"/>
      <c r="Z812" s="100"/>
    </row>
    <row r="813" spans="4:26" ht="14.25" customHeight="1" x14ac:dyDescent="0.25">
      <c r="D813" s="116"/>
      <c r="G813" s="111"/>
      <c r="H813" s="98"/>
      <c r="I813" s="99"/>
      <c r="J813" s="100"/>
      <c r="K813" s="101"/>
      <c r="M813" s="99"/>
      <c r="N813" s="100"/>
      <c r="O813" s="102"/>
      <c r="Q813" s="103"/>
      <c r="R813" s="100"/>
      <c r="S813" s="102"/>
      <c r="U813" s="100"/>
      <c r="V813" s="100"/>
      <c r="X813" s="104"/>
      <c r="Z813" s="100"/>
    </row>
    <row r="814" spans="4:26" ht="14.25" customHeight="1" x14ac:dyDescent="0.25">
      <c r="D814" s="116"/>
      <c r="G814" s="111"/>
      <c r="H814" s="98"/>
      <c r="I814" s="99"/>
      <c r="J814" s="100"/>
      <c r="K814" s="101"/>
      <c r="M814" s="99"/>
      <c r="N814" s="100"/>
      <c r="O814" s="102"/>
      <c r="Q814" s="103"/>
      <c r="R814" s="100"/>
      <c r="S814" s="102"/>
      <c r="U814" s="100"/>
      <c r="V814" s="100"/>
      <c r="X814" s="104"/>
      <c r="Z814" s="100"/>
    </row>
    <row r="815" spans="4:26" ht="14.25" customHeight="1" x14ac:dyDescent="0.25">
      <c r="D815" s="116"/>
      <c r="G815" s="111"/>
      <c r="H815" s="98"/>
      <c r="I815" s="99"/>
      <c r="J815" s="100"/>
      <c r="K815" s="101"/>
      <c r="M815" s="99"/>
      <c r="N815" s="100"/>
      <c r="O815" s="102"/>
      <c r="Q815" s="103"/>
      <c r="R815" s="100"/>
      <c r="S815" s="102"/>
      <c r="U815" s="100"/>
      <c r="V815" s="100"/>
      <c r="X815" s="104"/>
      <c r="Z815" s="100"/>
    </row>
    <row r="816" spans="4:26" ht="14.25" customHeight="1" x14ac:dyDescent="0.25">
      <c r="D816" s="116"/>
      <c r="G816" s="111"/>
      <c r="H816" s="98"/>
      <c r="I816" s="99"/>
      <c r="J816" s="100"/>
      <c r="K816" s="101"/>
      <c r="M816" s="99"/>
      <c r="N816" s="100"/>
      <c r="O816" s="102"/>
      <c r="Q816" s="103"/>
      <c r="R816" s="100"/>
      <c r="S816" s="102"/>
      <c r="U816" s="100"/>
      <c r="V816" s="100"/>
      <c r="X816" s="104"/>
      <c r="Z816" s="100"/>
    </row>
    <row r="817" spans="4:26" ht="14.25" customHeight="1" x14ac:dyDescent="0.25">
      <c r="D817" s="116"/>
      <c r="G817" s="111"/>
      <c r="H817" s="98"/>
      <c r="I817" s="99"/>
      <c r="J817" s="100"/>
      <c r="K817" s="101"/>
      <c r="M817" s="99"/>
      <c r="N817" s="100"/>
      <c r="O817" s="102"/>
      <c r="Q817" s="103"/>
      <c r="R817" s="100"/>
      <c r="S817" s="102"/>
      <c r="U817" s="100"/>
      <c r="V817" s="100"/>
      <c r="X817" s="104"/>
      <c r="Z817" s="100"/>
    </row>
    <row r="818" spans="4:26" ht="14.25" customHeight="1" x14ac:dyDescent="0.25">
      <c r="D818" s="116"/>
      <c r="G818" s="111"/>
      <c r="H818" s="98"/>
      <c r="I818" s="99"/>
      <c r="J818" s="100"/>
      <c r="K818" s="101"/>
      <c r="M818" s="99"/>
      <c r="N818" s="100"/>
      <c r="O818" s="102"/>
      <c r="Q818" s="103"/>
      <c r="R818" s="100"/>
      <c r="S818" s="102"/>
      <c r="U818" s="100"/>
      <c r="V818" s="100"/>
      <c r="X818" s="104"/>
      <c r="Z818" s="100"/>
    </row>
    <row r="819" spans="4:26" ht="14.25" customHeight="1" x14ac:dyDescent="0.25">
      <c r="D819" s="116"/>
      <c r="G819" s="111"/>
      <c r="H819" s="98"/>
      <c r="I819" s="99"/>
      <c r="J819" s="100"/>
      <c r="K819" s="101"/>
      <c r="M819" s="99"/>
      <c r="N819" s="100"/>
      <c r="O819" s="102"/>
      <c r="Q819" s="103"/>
      <c r="R819" s="100"/>
      <c r="S819" s="102"/>
      <c r="U819" s="100"/>
      <c r="V819" s="100"/>
      <c r="X819" s="104"/>
      <c r="Z819" s="100"/>
    </row>
    <row r="820" spans="4:26" ht="14.25" customHeight="1" x14ac:dyDescent="0.25">
      <c r="D820" s="116"/>
      <c r="G820" s="111"/>
      <c r="H820" s="98"/>
      <c r="I820" s="99"/>
      <c r="J820" s="100"/>
      <c r="K820" s="101"/>
      <c r="M820" s="99"/>
      <c r="N820" s="100"/>
      <c r="O820" s="102"/>
      <c r="Q820" s="103"/>
      <c r="R820" s="100"/>
      <c r="S820" s="102"/>
      <c r="U820" s="100"/>
      <c r="V820" s="100"/>
      <c r="X820" s="104"/>
      <c r="Z820" s="100"/>
    </row>
    <row r="821" spans="4:26" ht="14.25" customHeight="1" x14ac:dyDescent="0.25">
      <c r="D821" s="116"/>
      <c r="G821" s="111"/>
      <c r="H821" s="98"/>
      <c r="I821" s="99"/>
      <c r="J821" s="100"/>
      <c r="K821" s="101"/>
      <c r="M821" s="99"/>
      <c r="N821" s="100"/>
      <c r="O821" s="102"/>
      <c r="Q821" s="103"/>
      <c r="R821" s="100"/>
      <c r="S821" s="102"/>
      <c r="U821" s="100"/>
      <c r="V821" s="100"/>
      <c r="X821" s="104"/>
      <c r="Z821" s="100"/>
    </row>
    <row r="822" spans="4:26" ht="14.25" customHeight="1" x14ac:dyDescent="0.25">
      <c r="D822" s="116"/>
      <c r="G822" s="111"/>
      <c r="H822" s="98"/>
      <c r="I822" s="99"/>
      <c r="J822" s="100"/>
      <c r="K822" s="101"/>
      <c r="M822" s="99"/>
      <c r="N822" s="100"/>
      <c r="O822" s="102"/>
      <c r="Q822" s="103"/>
      <c r="R822" s="100"/>
      <c r="S822" s="102"/>
      <c r="U822" s="100"/>
      <c r="V822" s="100"/>
      <c r="X822" s="104"/>
      <c r="Z822" s="100"/>
    </row>
    <row r="823" spans="4:26" ht="14.25" customHeight="1" x14ac:dyDescent="0.25">
      <c r="D823" s="116"/>
      <c r="G823" s="111"/>
      <c r="H823" s="98"/>
      <c r="I823" s="99"/>
      <c r="J823" s="100"/>
      <c r="K823" s="101"/>
      <c r="M823" s="99"/>
      <c r="N823" s="100"/>
      <c r="O823" s="102"/>
      <c r="Q823" s="103"/>
      <c r="R823" s="100"/>
      <c r="S823" s="102"/>
      <c r="U823" s="100"/>
      <c r="V823" s="100"/>
      <c r="X823" s="104"/>
      <c r="Z823" s="100"/>
    </row>
    <row r="824" spans="4:26" ht="14.25" customHeight="1" x14ac:dyDescent="0.25">
      <c r="D824" s="116"/>
      <c r="G824" s="111"/>
      <c r="H824" s="98"/>
      <c r="I824" s="99"/>
      <c r="J824" s="100"/>
      <c r="K824" s="101"/>
      <c r="M824" s="99"/>
      <c r="N824" s="100"/>
      <c r="O824" s="102"/>
      <c r="Q824" s="103"/>
      <c r="R824" s="100"/>
      <c r="S824" s="102"/>
      <c r="U824" s="100"/>
      <c r="V824" s="100"/>
      <c r="X824" s="104"/>
      <c r="Z824" s="100"/>
    </row>
    <row r="825" spans="4:26" ht="14.25" customHeight="1" x14ac:dyDescent="0.25">
      <c r="D825" s="116"/>
      <c r="G825" s="111"/>
      <c r="H825" s="98"/>
      <c r="I825" s="99"/>
      <c r="J825" s="100"/>
      <c r="K825" s="101"/>
      <c r="M825" s="99"/>
      <c r="N825" s="100"/>
      <c r="O825" s="102"/>
      <c r="Q825" s="103"/>
      <c r="R825" s="100"/>
      <c r="S825" s="102"/>
      <c r="U825" s="100"/>
      <c r="V825" s="100"/>
      <c r="X825" s="104"/>
      <c r="Z825" s="100"/>
    </row>
    <row r="826" spans="4:26" ht="14.25" customHeight="1" x14ac:dyDescent="0.25">
      <c r="D826" s="116"/>
      <c r="G826" s="111"/>
      <c r="H826" s="98"/>
      <c r="I826" s="99"/>
      <c r="J826" s="100"/>
      <c r="K826" s="101"/>
      <c r="M826" s="99"/>
      <c r="N826" s="100"/>
      <c r="O826" s="102"/>
      <c r="Q826" s="103"/>
      <c r="R826" s="100"/>
      <c r="S826" s="102"/>
      <c r="U826" s="100"/>
      <c r="V826" s="100"/>
      <c r="X826" s="104"/>
      <c r="Z826" s="100"/>
    </row>
    <row r="827" spans="4:26" ht="14.25" customHeight="1" x14ac:dyDescent="0.25">
      <c r="D827" s="116"/>
      <c r="G827" s="111"/>
      <c r="H827" s="98"/>
      <c r="I827" s="99"/>
      <c r="J827" s="100"/>
      <c r="K827" s="101"/>
      <c r="M827" s="99"/>
      <c r="N827" s="100"/>
      <c r="O827" s="102"/>
      <c r="Q827" s="103"/>
      <c r="R827" s="100"/>
      <c r="S827" s="102"/>
      <c r="U827" s="100"/>
      <c r="V827" s="100"/>
      <c r="X827" s="104"/>
      <c r="Z827" s="100"/>
    </row>
    <row r="828" spans="4:26" ht="14.25" customHeight="1" x14ac:dyDescent="0.25">
      <c r="D828" s="116"/>
      <c r="G828" s="111"/>
      <c r="H828" s="98"/>
      <c r="I828" s="99"/>
      <c r="J828" s="100"/>
      <c r="K828" s="101"/>
      <c r="M828" s="99"/>
      <c r="N828" s="100"/>
      <c r="O828" s="102"/>
      <c r="Q828" s="103"/>
      <c r="R828" s="100"/>
      <c r="S828" s="102"/>
      <c r="U828" s="100"/>
      <c r="V828" s="100"/>
      <c r="X828" s="104"/>
      <c r="Z828" s="100"/>
    </row>
    <row r="829" spans="4:26" ht="14.25" customHeight="1" x14ac:dyDescent="0.25">
      <c r="D829" s="116"/>
      <c r="G829" s="111"/>
      <c r="H829" s="98"/>
      <c r="I829" s="99"/>
      <c r="J829" s="100"/>
      <c r="K829" s="101"/>
      <c r="M829" s="99"/>
      <c r="N829" s="100"/>
      <c r="O829" s="102"/>
      <c r="Q829" s="103"/>
      <c r="R829" s="100"/>
      <c r="S829" s="102"/>
      <c r="U829" s="100"/>
      <c r="V829" s="100"/>
      <c r="X829" s="104"/>
      <c r="Z829" s="100"/>
    </row>
    <row r="830" spans="4:26" ht="14.25" customHeight="1" x14ac:dyDescent="0.25">
      <c r="D830" s="116"/>
      <c r="G830" s="111"/>
      <c r="H830" s="98"/>
      <c r="I830" s="99"/>
      <c r="J830" s="100"/>
      <c r="K830" s="101"/>
      <c r="M830" s="99"/>
      <c r="N830" s="100"/>
      <c r="O830" s="102"/>
      <c r="Q830" s="103"/>
      <c r="R830" s="100"/>
      <c r="S830" s="102"/>
      <c r="U830" s="100"/>
      <c r="V830" s="100"/>
      <c r="X830" s="104"/>
      <c r="Z830" s="100"/>
    </row>
    <row r="831" spans="4:26" ht="14.25" customHeight="1" x14ac:dyDescent="0.25">
      <c r="D831" s="116"/>
      <c r="G831" s="111"/>
      <c r="H831" s="98"/>
      <c r="I831" s="99"/>
      <c r="J831" s="100"/>
      <c r="K831" s="101"/>
      <c r="M831" s="99"/>
      <c r="N831" s="100"/>
      <c r="O831" s="102"/>
      <c r="Q831" s="103"/>
      <c r="R831" s="100"/>
      <c r="S831" s="102"/>
      <c r="U831" s="100"/>
      <c r="V831" s="100"/>
      <c r="X831" s="104"/>
      <c r="Z831" s="100"/>
    </row>
    <row r="832" spans="4:26" ht="14.25" customHeight="1" x14ac:dyDescent="0.25">
      <c r="D832" s="116"/>
      <c r="G832" s="111"/>
      <c r="H832" s="98"/>
      <c r="I832" s="99"/>
      <c r="J832" s="100"/>
      <c r="K832" s="101"/>
      <c r="M832" s="99"/>
      <c r="N832" s="100"/>
      <c r="O832" s="102"/>
      <c r="Q832" s="103"/>
      <c r="R832" s="100"/>
      <c r="S832" s="102"/>
      <c r="U832" s="100"/>
      <c r="V832" s="100"/>
      <c r="X832" s="104"/>
      <c r="Z832" s="100"/>
    </row>
    <row r="833" spans="4:26" ht="14.25" customHeight="1" x14ac:dyDescent="0.25">
      <c r="D833" s="116"/>
      <c r="G833" s="111"/>
      <c r="H833" s="98"/>
      <c r="I833" s="99"/>
      <c r="J833" s="100"/>
      <c r="K833" s="101"/>
      <c r="M833" s="99"/>
      <c r="N833" s="100"/>
      <c r="O833" s="102"/>
      <c r="Q833" s="103"/>
      <c r="R833" s="100"/>
      <c r="S833" s="102"/>
      <c r="U833" s="100"/>
      <c r="V833" s="100"/>
      <c r="X833" s="104"/>
      <c r="Z833" s="100"/>
    </row>
    <row r="834" spans="4:26" ht="14.25" customHeight="1" x14ac:dyDescent="0.25">
      <c r="D834" s="116"/>
      <c r="G834" s="111"/>
      <c r="H834" s="98"/>
      <c r="I834" s="99"/>
      <c r="J834" s="100"/>
      <c r="K834" s="101"/>
      <c r="M834" s="99"/>
      <c r="N834" s="100"/>
      <c r="O834" s="102"/>
      <c r="Q834" s="103"/>
      <c r="R834" s="100"/>
      <c r="S834" s="102"/>
      <c r="U834" s="100"/>
      <c r="V834" s="100"/>
      <c r="X834" s="104"/>
      <c r="Z834" s="100"/>
    </row>
    <row r="835" spans="4:26" ht="14.25" customHeight="1" x14ac:dyDescent="0.25">
      <c r="D835" s="116"/>
      <c r="G835" s="111"/>
      <c r="H835" s="98"/>
      <c r="I835" s="99"/>
      <c r="J835" s="100"/>
      <c r="K835" s="101"/>
      <c r="M835" s="99"/>
      <c r="N835" s="100"/>
      <c r="O835" s="102"/>
      <c r="Q835" s="103"/>
      <c r="R835" s="100"/>
      <c r="S835" s="102"/>
      <c r="U835" s="100"/>
      <c r="V835" s="100"/>
      <c r="X835" s="104"/>
      <c r="Z835" s="100"/>
    </row>
    <row r="836" spans="4:26" ht="14.25" customHeight="1" x14ac:dyDescent="0.25">
      <c r="D836" s="116"/>
      <c r="G836" s="111"/>
      <c r="H836" s="98"/>
      <c r="I836" s="99"/>
      <c r="J836" s="100"/>
      <c r="K836" s="101"/>
      <c r="M836" s="99"/>
      <c r="N836" s="100"/>
      <c r="O836" s="102"/>
      <c r="Q836" s="103"/>
      <c r="R836" s="100"/>
      <c r="S836" s="102"/>
      <c r="U836" s="100"/>
      <c r="V836" s="100"/>
      <c r="X836" s="104"/>
      <c r="Z836" s="100"/>
    </row>
    <row r="837" spans="4:26" ht="14.25" customHeight="1" x14ac:dyDescent="0.25">
      <c r="D837" s="116"/>
      <c r="G837" s="111"/>
      <c r="H837" s="98"/>
      <c r="I837" s="99"/>
      <c r="J837" s="100"/>
      <c r="K837" s="101"/>
      <c r="M837" s="99"/>
      <c r="N837" s="100"/>
      <c r="O837" s="102"/>
      <c r="Q837" s="103"/>
      <c r="R837" s="100"/>
      <c r="S837" s="102"/>
      <c r="U837" s="100"/>
      <c r="V837" s="100"/>
      <c r="X837" s="104"/>
      <c r="Z837" s="100"/>
    </row>
    <row r="838" spans="4:26" ht="14.25" customHeight="1" x14ac:dyDescent="0.25">
      <c r="D838" s="116"/>
      <c r="G838" s="111"/>
      <c r="H838" s="98"/>
      <c r="I838" s="99"/>
      <c r="J838" s="100"/>
      <c r="K838" s="101"/>
      <c r="M838" s="99"/>
      <c r="N838" s="100"/>
      <c r="O838" s="102"/>
      <c r="Q838" s="103"/>
      <c r="R838" s="100"/>
      <c r="S838" s="102"/>
      <c r="U838" s="100"/>
      <c r="V838" s="100"/>
      <c r="X838" s="104"/>
      <c r="Z838" s="100"/>
    </row>
    <row r="839" spans="4:26" ht="14.25" customHeight="1" x14ac:dyDescent="0.25">
      <c r="D839" s="116"/>
      <c r="G839" s="111"/>
      <c r="H839" s="98"/>
      <c r="I839" s="99"/>
      <c r="J839" s="100"/>
      <c r="K839" s="101"/>
      <c r="M839" s="99"/>
      <c r="N839" s="100"/>
      <c r="O839" s="102"/>
      <c r="Q839" s="103"/>
      <c r="R839" s="100"/>
      <c r="S839" s="102"/>
      <c r="U839" s="100"/>
      <c r="V839" s="100"/>
      <c r="X839" s="104"/>
      <c r="Z839" s="100"/>
    </row>
    <row r="840" spans="4:26" ht="14.25" customHeight="1" x14ac:dyDescent="0.25">
      <c r="D840" s="116"/>
      <c r="G840" s="111"/>
      <c r="H840" s="98"/>
      <c r="I840" s="99"/>
      <c r="J840" s="100"/>
      <c r="K840" s="101"/>
      <c r="M840" s="99"/>
      <c r="N840" s="100"/>
      <c r="O840" s="102"/>
      <c r="Q840" s="103"/>
      <c r="R840" s="100"/>
      <c r="S840" s="102"/>
      <c r="U840" s="100"/>
      <c r="V840" s="100"/>
      <c r="X840" s="104"/>
      <c r="Z840" s="100"/>
    </row>
    <row r="841" spans="4:26" ht="14.25" customHeight="1" x14ac:dyDescent="0.25">
      <c r="D841" s="116"/>
      <c r="G841" s="111"/>
      <c r="H841" s="98"/>
      <c r="I841" s="99"/>
      <c r="J841" s="100"/>
      <c r="K841" s="101"/>
      <c r="M841" s="99"/>
      <c r="N841" s="100"/>
      <c r="O841" s="102"/>
      <c r="Q841" s="103"/>
      <c r="R841" s="100"/>
      <c r="S841" s="102"/>
      <c r="U841" s="100"/>
      <c r="V841" s="100"/>
      <c r="X841" s="104"/>
      <c r="Z841" s="100"/>
    </row>
    <row r="842" spans="4:26" ht="14.25" customHeight="1" x14ac:dyDescent="0.25">
      <c r="D842" s="116"/>
      <c r="G842" s="111"/>
      <c r="H842" s="98"/>
      <c r="I842" s="99"/>
      <c r="J842" s="100"/>
      <c r="K842" s="101"/>
      <c r="M842" s="99"/>
      <c r="N842" s="100"/>
      <c r="O842" s="102"/>
      <c r="Q842" s="103"/>
      <c r="R842" s="100"/>
      <c r="S842" s="102"/>
      <c r="U842" s="100"/>
      <c r="V842" s="100"/>
      <c r="X842" s="104"/>
      <c r="Z842" s="100"/>
    </row>
    <row r="843" spans="4:26" ht="14.25" customHeight="1" x14ac:dyDescent="0.25">
      <c r="D843" s="116"/>
      <c r="G843" s="111"/>
      <c r="H843" s="98"/>
      <c r="I843" s="99"/>
      <c r="J843" s="100"/>
      <c r="K843" s="101"/>
      <c r="M843" s="99"/>
      <c r="N843" s="100"/>
      <c r="O843" s="102"/>
      <c r="Q843" s="103"/>
      <c r="R843" s="100"/>
      <c r="S843" s="102"/>
      <c r="U843" s="100"/>
      <c r="V843" s="100"/>
      <c r="X843" s="104"/>
      <c r="Z843" s="100"/>
    </row>
    <row r="844" spans="4:26" ht="14.25" customHeight="1" x14ac:dyDescent="0.25">
      <c r="D844" s="116"/>
      <c r="G844" s="111"/>
      <c r="H844" s="98"/>
      <c r="I844" s="99"/>
      <c r="J844" s="100"/>
      <c r="K844" s="101"/>
      <c r="M844" s="99"/>
      <c r="N844" s="100"/>
      <c r="O844" s="102"/>
      <c r="Q844" s="103"/>
      <c r="R844" s="100"/>
      <c r="S844" s="102"/>
      <c r="U844" s="100"/>
      <c r="V844" s="100"/>
      <c r="X844" s="104"/>
      <c r="Z844" s="100"/>
    </row>
    <row r="845" spans="4:26" ht="14.25" customHeight="1" x14ac:dyDescent="0.25">
      <c r="D845" s="116"/>
      <c r="G845" s="111"/>
      <c r="H845" s="98"/>
      <c r="I845" s="99"/>
      <c r="J845" s="100"/>
      <c r="K845" s="101"/>
      <c r="M845" s="99"/>
      <c r="N845" s="100"/>
      <c r="O845" s="102"/>
      <c r="Q845" s="103"/>
      <c r="R845" s="100"/>
      <c r="S845" s="102"/>
      <c r="U845" s="100"/>
      <c r="V845" s="100"/>
      <c r="X845" s="104"/>
      <c r="Z845" s="100"/>
    </row>
    <row r="846" spans="4:26" ht="14.25" customHeight="1" x14ac:dyDescent="0.25">
      <c r="D846" s="116"/>
      <c r="G846" s="111"/>
      <c r="H846" s="98"/>
      <c r="I846" s="99"/>
      <c r="J846" s="100"/>
      <c r="K846" s="101"/>
      <c r="M846" s="99"/>
      <c r="N846" s="100"/>
      <c r="O846" s="102"/>
      <c r="Q846" s="103"/>
      <c r="R846" s="100"/>
      <c r="S846" s="102"/>
      <c r="U846" s="100"/>
      <c r="V846" s="100"/>
      <c r="X846" s="104"/>
      <c r="Z846" s="100"/>
    </row>
    <row r="847" spans="4:26" ht="14.25" customHeight="1" x14ac:dyDescent="0.25">
      <c r="D847" s="116"/>
      <c r="G847" s="111"/>
      <c r="H847" s="98"/>
      <c r="I847" s="99"/>
      <c r="J847" s="100"/>
      <c r="K847" s="101"/>
      <c r="M847" s="99"/>
      <c r="N847" s="100"/>
      <c r="O847" s="102"/>
      <c r="Q847" s="103"/>
      <c r="R847" s="100"/>
      <c r="S847" s="102"/>
      <c r="U847" s="100"/>
      <c r="V847" s="100"/>
      <c r="X847" s="104"/>
      <c r="Z847" s="100"/>
    </row>
    <row r="848" spans="4:26" ht="14.25" customHeight="1" x14ac:dyDescent="0.25">
      <c r="D848" s="116"/>
      <c r="G848" s="111"/>
      <c r="H848" s="98"/>
      <c r="I848" s="99"/>
      <c r="J848" s="100"/>
      <c r="K848" s="101"/>
      <c r="M848" s="99"/>
      <c r="N848" s="100"/>
      <c r="O848" s="102"/>
      <c r="Q848" s="103"/>
      <c r="R848" s="100"/>
      <c r="S848" s="102"/>
      <c r="U848" s="100"/>
      <c r="V848" s="100"/>
      <c r="X848" s="104"/>
      <c r="Z848" s="100"/>
    </row>
    <row r="849" spans="4:26" ht="14.25" customHeight="1" x14ac:dyDescent="0.25">
      <c r="D849" s="116"/>
      <c r="G849" s="111"/>
      <c r="H849" s="98"/>
      <c r="I849" s="99"/>
      <c r="J849" s="100"/>
      <c r="K849" s="101"/>
      <c r="M849" s="99"/>
      <c r="N849" s="100"/>
      <c r="O849" s="102"/>
      <c r="Q849" s="103"/>
      <c r="R849" s="100"/>
      <c r="S849" s="102"/>
      <c r="U849" s="100"/>
      <c r="V849" s="100"/>
      <c r="X849" s="104"/>
      <c r="Z849" s="100"/>
    </row>
    <row r="850" spans="4:26" ht="14.25" customHeight="1" x14ac:dyDescent="0.25">
      <c r="D850" s="116"/>
      <c r="G850" s="111"/>
      <c r="H850" s="98"/>
      <c r="I850" s="99"/>
      <c r="J850" s="100"/>
      <c r="K850" s="101"/>
      <c r="M850" s="99"/>
      <c r="N850" s="100"/>
      <c r="O850" s="102"/>
      <c r="Q850" s="103"/>
      <c r="R850" s="100"/>
      <c r="S850" s="102"/>
      <c r="U850" s="100"/>
      <c r="V850" s="100"/>
      <c r="X850" s="104"/>
      <c r="Z850" s="100"/>
    </row>
    <row r="851" spans="4:26" ht="14.25" customHeight="1" x14ac:dyDescent="0.25">
      <c r="D851" s="116"/>
      <c r="G851" s="111"/>
      <c r="H851" s="98"/>
      <c r="I851" s="99"/>
      <c r="J851" s="100"/>
      <c r="K851" s="101"/>
      <c r="M851" s="99"/>
      <c r="N851" s="100"/>
      <c r="O851" s="102"/>
      <c r="Q851" s="103"/>
      <c r="R851" s="100"/>
      <c r="S851" s="102"/>
      <c r="U851" s="100"/>
      <c r="V851" s="100"/>
      <c r="X851" s="104"/>
      <c r="Z851" s="100"/>
    </row>
    <row r="852" spans="4:26" ht="14.25" customHeight="1" x14ac:dyDescent="0.25">
      <c r="D852" s="116"/>
      <c r="G852" s="111"/>
      <c r="H852" s="98"/>
      <c r="I852" s="99"/>
      <c r="J852" s="100"/>
      <c r="K852" s="101"/>
      <c r="M852" s="99"/>
      <c r="N852" s="100"/>
      <c r="O852" s="102"/>
      <c r="Q852" s="103"/>
      <c r="R852" s="100"/>
      <c r="S852" s="102"/>
      <c r="U852" s="100"/>
      <c r="V852" s="100"/>
      <c r="X852" s="104"/>
      <c r="Z852" s="100"/>
    </row>
    <row r="853" spans="4:26" ht="14.25" customHeight="1" x14ac:dyDescent="0.25">
      <c r="D853" s="116"/>
      <c r="G853" s="111"/>
      <c r="H853" s="98"/>
      <c r="I853" s="99"/>
      <c r="J853" s="100"/>
      <c r="K853" s="101"/>
      <c r="M853" s="99"/>
      <c r="N853" s="100"/>
      <c r="O853" s="102"/>
      <c r="Q853" s="103"/>
      <c r="R853" s="100"/>
      <c r="S853" s="102"/>
      <c r="U853" s="100"/>
      <c r="V853" s="100"/>
      <c r="X853" s="104"/>
      <c r="Z853" s="100"/>
    </row>
    <row r="854" spans="4:26" ht="14.25" customHeight="1" x14ac:dyDescent="0.25">
      <c r="D854" s="116"/>
      <c r="G854" s="111"/>
      <c r="H854" s="98"/>
      <c r="I854" s="99"/>
      <c r="J854" s="100"/>
      <c r="K854" s="101"/>
      <c r="M854" s="99"/>
      <c r="N854" s="100"/>
      <c r="O854" s="102"/>
      <c r="Q854" s="103"/>
      <c r="R854" s="100"/>
      <c r="S854" s="102"/>
      <c r="U854" s="100"/>
      <c r="V854" s="100"/>
      <c r="X854" s="104"/>
      <c r="Z854" s="100"/>
    </row>
    <row r="855" spans="4:26" ht="14.25" customHeight="1" x14ac:dyDescent="0.25">
      <c r="D855" s="116"/>
      <c r="G855" s="111"/>
      <c r="H855" s="98"/>
      <c r="I855" s="99"/>
      <c r="J855" s="100"/>
      <c r="K855" s="101"/>
      <c r="M855" s="99"/>
      <c r="N855" s="100"/>
      <c r="O855" s="102"/>
      <c r="Q855" s="103"/>
      <c r="R855" s="100"/>
      <c r="S855" s="102"/>
      <c r="U855" s="100"/>
      <c r="V855" s="100"/>
      <c r="X855" s="104"/>
      <c r="Z855" s="100"/>
    </row>
    <row r="856" spans="4:26" ht="14.25" customHeight="1" x14ac:dyDescent="0.25">
      <c r="D856" s="116"/>
      <c r="G856" s="111"/>
      <c r="H856" s="98"/>
      <c r="I856" s="99"/>
      <c r="J856" s="100"/>
      <c r="K856" s="101"/>
      <c r="M856" s="99"/>
      <c r="N856" s="100"/>
      <c r="O856" s="102"/>
      <c r="Q856" s="103"/>
      <c r="R856" s="100"/>
      <c r="S856" s="102"/>
      <c r="U856" s="100"/>
      <c r="V856" s="100"/>
      <c r="X856" s="104"/>
      <c r="Z856" s="100"/>
    </row>
    <row r="857" spans="4:26" ht="14.25" customHeight="1" x14ac:dyDescent="0.25">
      <c r="D857" s="116"/>
      <c r="G857" s="111"/>
      <c r="H857" s="98"/>
      <c r="I857" s="99"/>
      <c r="J857" s="100"/>
      <c r="K857" s="101"/>
      <c r="M857" s="99"/>
      <c r="N857" s="100"/>
      <c r="O857" s="102"/>
      <c r="Q857" s="103"/>
      <c r="R857" s="100"/>
      <c r="S857" s="102"/>
      <c r="U857" s="100"/>
      <c r="V857" s="100"/>
      <c r="X857" s="104"/>
      <c r="Z857" s="100"/>
    </row>
    <row r="858" spans="4:26" ht="14.25" customHeight="1" x14ac:dyDescent="0.25">
      <c r="D858" s="116"/>
      <c r="G858" s="111"/>
      <c r="H858" s="98"/>
      <c r="I858" s="99"/>
      <c r="J858" s="100"/>
      <c r="K858" s="101"/>
      <c r="M858" s="99"/>
      <c r="N858" s="100"/>
      <c r="O858" s="102"/>
      <c r="Q858" s="103"/>
      <c r="R858" s="100"/>
      <c r="S858" s="102"/>
      <c r="U858" s="100"/>
      <c r="V858" s="100"/>
      <c r="X858" s="104"/>
      <c r="Z858" s="100"/>
    </row>
    <row r="859" spans="4:26" ht="14.25" customHeight="1" x14ac:dyDescent="0.25">
      <c r="D859" s="116"/>
      <c r="G859" s="111"/>
      <c r="H859" s="98"/>
      <c r="I859" s="99"/>
      <c r="J859" s="100"/>
      <c r="K859" s="101"/>
      <c r="M859" s="99"/>
      <c r="N859" s="100"/>
      <c r="O859" s="102"/>
      <c r="Q859" s="103"/>
      <c r="R859" s="100"/>
      <c r="S859" s="102"/>
      <c r="U859" s="100"/>
      <c r="V859" s="100"/>
      <c r="X859" s="104"/>
      <c r="Z859" s="100"/>
    </row>
    <row r="860" spans="4:26" ht="14.25" customHeight="1" x14ac:dyDescent="0.25">
      <c r="D860" s="116"/>
      <c r="G860" s="111"/>
      <c r="H860" s="98"/>
      <c r="I860" s="99"/>
      <c r="J860" s="100"/>
      <c r="K860" s="101"/>
      <c r="M860" s="99"/>
      <c r="N860" s="100"/>
      <c r="O860" s="102"/>
      <c r="Q860" s="103"/>
      <c r="R860" s="100"/>
      <c r="S860" s="102"/>
      <c r="U860" s="100"/>
      <c r="V860" s="100"/>
      <c r="X860" s="104"/>
      <c r="Z860" s="100"/>
    </row>
    <row r="861" spans="4:26" ht="14.25" customHeight="1" x14ac:dyDescent="0.25">
      <c r="D861" s="116"/>
      <c r="G861" s="111"/>
      <c r="H861" s="98"/>
      <c r="I861" s="99"/>
      <c r="J861" s="100"/>
      <c r="K861" s="101"/>
      <c r="M861" s="99"/>
      <c r="N861" s="100"/>
      <c r="O861" s="102"/>
      <c r="Q861" s="103"/>
      <c r="R861" s="100"/>
      <c r="S861" s="102"/>
      <c r="U861" s="100"/>
      <c r="V861" s="100"/>
      <c r="X861" s="104"/>
      <c r="Z861" s="100"/>
    </row>
    <row r="862" spans="4:26" ht="14.25" customHeight="1" x14ac:dyDescent="0.25">
      <c r="D862" s="116"/>
      <c r="G862" s="111"/>
      <c r="H862" s="98"/>
      <c r="I862" s="99"/>
      <c r="J862" s="100"/>
      <c r="K862" s="101"/>
      <c r="M862" s="99"/>
      <c r="N862" s="100"/>
      <c r="O862" s="102"/>
      <c r="Q862" s="103"/>
      <c r="R862" s="100"/>
      <c r="S862" s="102"/>
      <c r="U862" s="100"/>
      <c r="V862" s="100"/>
      <c r="X862" s="104"/>
      <c r="Z862" s="100"/>
    </row>
    <row r="863" spans="4:26" ht="14.25" customHeight="1" x14ac:dyDescent="0.25">
      <c r="D863" s="116"/>
      <c r="G863" s="111"/>
      <c r="H863" s="98"/>
      <c r="I863" s="99"/>
      <c r="J863" s="100"/>
      <c r="K863" s="101"/>
      <c r="M863" s="99"/>
      <c r="N863" s="100"/>
      <c r="O863" s="102"/>
      <c r="Q863" s="103"/>
      <c r="R863" s="100"/>
      <c r="S863" s="102"/>
      <c r="U863" s="100"/>
      <c r="V863" s="100"/>
      <c r="X863" s="104"/>
      <c r="Z863" s="100"/>
    </row>
    <row r="864" spans="4:26" ht="14.25" customHeight="1" x14ac:dyDescent="0.25">
      <c r="D864" s="116"/>
      <c r="G864" s="111"/>
      <c r="H864" s="98"/>
      <c r="I864" s="99"/>
      <c r="J864" s="100"/>
      <c r="K864" s="101"/>
      <c r="M864" s="99"/>
      <c r="N864" s="100"/>
      <c r="O864" s="102"/>
      <c r="Q864" s="103"/>
      <c r="R864" s="100"/>
      <c r="S864" s="102"/>
      <c r="U864" s="100"/>
      <c r="V864" s="100"/>
      <c r="X864" s="104"/>
      <c r="Z864" s="100"/>
    </row>
    <row r="865" spans="4:26" ht="14.25" customHeight="1" x14ac:dyDescent="0.25">
      <c r="D865" s="116"/>
      <c r="G865" s="111"/>
      <c r="H865" s="98"/>
      <c r="I865" s="99"/>
      <c r="J865" s="100"/>
      <c r="K865" s="101"/>
      <c r="M865" s="99"/>
      <c r="N865" s="100"/>
      <c r="O865" s="102"/>
      <c r="Q865" s="103"/>
      <c r="R865" s="100"/>
      <c r="S865" s="102"/>
      <c r="U865" s="100"/>
      <c r="V865" s="100"/>
      <c r="X865" s="104"/>
      <c r="Z865" s="100"/>
    </row>
    <row r="866" spans="4:26" ht="14.25" customHeight="1" x14ac:dyDescent="0.25">
      <c r="D866" s="116"/>
      <c r="G866" s="111"/>
      <c r="H866" s="98"/>
      <c r="I866" s="99"/>
      <c r="J866" s="100"/>
      <c r="K866" s="101"/>
      <c r="M866" s="99"/>
      <c r="N866" s="100"/>
      <c r="O866" s="102"/>
      <c r="Q866" s="103"/>
      <c r="R866" s="100"/>
      <c r="S866" s="102"/>
      <c r="U866" s="100"/>
      <c r="V866" s="100"/>
      <c r="X866" s="104"/>
      <c r="Z866" s="100"/>
    </row>
    <row r="867" spans="4:26" ht="14.25" customHeight="1" x14ac:dyDescent="0.25">
      <c r="D867" s="116"/>
      <c r="G867" s="111"/>
      <c r="H867" s="98"/>
      <c r="I867" s="99"/>
      <c r="J867" s="100"/>
      <c r="K867" s="101"/>
      <c r="M867" s="99"/>
      <c r="N867" s="100"/>
      <c r="O867" s="102"/>
      <c r="Q867" s="103"/>
      <c r="R867" s="100"/>
      <c r="S867" s="102"/>
      <c r="U867" s="100"/>
      <c r="V867" s="100"/>
      <c r="X867" s="104"/>
      <c r="Z867" s="100"/>
    </row>
    <row r="868" spans="4:26" ht="14.25" customHeight="1" x14ac:dyDescent="0.25">
      <c r="D868" s="116"/>
      <c r="G868" s="111"/>
      <c r="H868" s="98"/>
      <c r="I868" s="99"/>
      <c r="J868" s="100"/>
      <c r="K868" s="101"/>
      <c r="M868" s="99"/>
      <c r="N868" s="100"/>
      <c r="O868" s="102"/>
      <c r="Q868" s="103"/>
      <c r="R868" s="100"/>
      <c r="S868" s="102"/>
      <c r="U868" s="100"/>
      <c r="V868" s="100"/>
      <c r="X868" s="104"/>
      <c r="Z868" s="100"/>
    </row>
    <row r="869" spans="4:26" ht="14.25" customHeight="1" x14ac:dyDescent="0.25">
      <c r="D869" s="116"/>
      <c r="G869" s="111"/>
      <c r="H869" s="98"/>
      <c r="I869" s="99"/>
      <c r="J869" s="100"/>
      <c r="K869" s="101"/>
      <c r="M869" s="99"/>
      <c r="N869" s="100"/>
      <c r="O869" s="102"/>
      <c r="Q869" s="103"/>
      <c r="R869" s="100"/>
      <c r="S869" s="102"/>
      <c r="U869" s="100"/>
      <c r="V869" s="100"/>
      <c r="X869" s="104"/>
      <c r="Z869" s="100"/>
    </row>
    <row r="870" spans="4:26" ht="14.25" customHeight="1" x14ac:dyDescent="0.25">
      <c r="D870" s="116"/>
      <c r="G870" s="111"/>
      <c r="H870" s="98"/>
      <c r="I870" s="99"/>
      <c r="J870" s="100"/>
      <c r="K870" s="101"/>
      <c r="M870" s="99"/>
      <c r="N870" s="100"/>
      <c r="O870" s="102"/>
      <c r="Q870" s="103"/>
      <c r="R870" s="100"/>
      <c r="S870" s="102"/>
      <c r="U870" s="100"/>
      <c r="V870" s="100"/>
      <c r="X870" s="104"/>
      <c r="Z870" s="100"/>
    </row>
    <row r="871" spans="4:26" ht="14.25" customHeight="1" x14ac:dyDescent="0.25">
      <c r="D871" s="116"/>
      <c r="G871" s="111"/>
      <c r="H871" s="98"/>
      <c r="I871" s="99"/>
      <c r="J871" s="100"/>
      <c r="K871" s="101"/>
      <c r="M871" s="99"/>
      <c r="N871" s="100"/>
      <c r="O871" s="102"/>
      <c r="Q871" s="103"/>
      <c r="R871" s="100"/>
      <c r="S871" s="102"/>
      <c r="U871" s="100"/>
      <c r="V871" s="100"/>
      <c r="X871" s="104"/>
      <c r="Z871" s="100"/>
    </row>
    <row r="872" spans="4:26" ht="14.25" customHeight="1" x14ac:dyDescent="0.25">
      <c r="D872" s="116"/>
      <c r="G872" s="111"/>
      <c r="H872" s="98"/>
      <c r="I872" s="99"/>
      <c r="J872" s="100"/>
      <c r="K872" s="101"/>
      <c r="M872" s="99"/>
      <c r="N872" s="100"/>
      <c r="O872" s="102"/>
      <c r="Q872" s="103"/>
      <c r="R872" s="100"/>
      <c r="S872" s="102"/>
      <c r="U872" s="100"/>
      <c r="V872" s="100"/>
      <c r="X872" s="104"/>
      <c r="Z872" s="100"/>
    </row>
    <row r="873" spans="4:26" ht="14.25" customHeight="1" x14ac:dyDescent="0.25">
      <c r="D873" s="116"/>
      <c r="G873" s="111"/>
      <c r="H873" s="98"/>
      <c r="I873" s="99"/>
      <c r="J873" s="100"/>
      <c r="K873" s="101"/>
      <c r="M873" s="99"/>
      <c r="N873" s="100"/>
      <c r="O873" s="102"/>
      <c r="Q873" s="103"/>
      <c r="R873" s="100"/>
      <c r="S873" s="102"/>
      <c r="U873" s="100"/>
      <c r="V873" s="100"/>
      <c r="X873" s="104"/>
      <c r="Z873" s="100"/>
    </row>
    <row r="874" spans="4:26" ht="14.25" customHeight="1" x14ac:dyDescent="0.25">
      <c r="D874" s="116"/>
      <c r="G874" s="111"/>
      <c r="H874" s="98"/>
      <c r="I874" s="99"/>
      <c r="J874" s="100"/>
      <c r="K874" s="101"/>
      <c r="M874" s="99"/>
      <c r="N874" s="100"/>
      <c r="O874" s="102"/>
      <c r="Q874" s="103"/>
      <c r="R874" s="100"/>
      <c r="S874" s="102"/>
      <c r="U874" s="100"/>
      <c r="V874" s="100"/>
      <c r="X874" s="104"/>
      <c r="Z874" s="100"/>
    </row>
    <row r="875" spans="4:26" ht="14.25" customHeight="1" x14ac:dyDescent="0.25">
      <c r="D875" s="116"/>
      <c r="G875" s="111"/>
      <c r="H875" s="98"/>
      <c r="I875" s="99"/>
      <c r="J875" s="100"/>
      <c r="K875" s="101"/>
      <c r="M875" s="99"/>
      <c r="N875" s="100"/>
      <c r="O875" s="102"/>
      <c r="Q875" s="103"/>
      <c r="R875" s="100"/>
      <c r="S875" s="102"/>
      <c r="U875" s="100"/>
      <c r="V875" s="100"/>
      <c r="X875" s="104"/>
      <c r="Z875" s="100"/>
    </row>
    <row r="876" spans="4:26" ht="14.25" customHeight="1" x14ac:dyDescent="0.25">
      <c r="D876" s="116"/>
      <c r="G876" s="111"/>
      <c r="H876" s="98"/>
      <c r="I876" s="99"/>
      <c r="J876" s="100"/>
      <c r="K876" s="101"/>
      <c r="M876" s="99"/>
      <c r="N876" s="100"/>
      <c r="O876" s="102"/>
      <c r="Q876" s="103"/>
      <c r="R876" s="100"/>
      <c r="S876" s="102"/>
      <c r="U876" s="100"/>
      <c r="V876" s="100"/>
      <c r="X876" s="104"/>
      <c r="Z876" s="100"/>
    </row>
    <row r="877" spans="4:26" ht="14.25" customHeight="1" x14ac:dyDescent="0.25">
      <c r="D877" s="116"/>
      <c r="G877" s="111"/>
      <c r="H877" s="98"/>
      <c r="I877" s="99"/>
      <c r="J877" s="100"/>
      <c r="K877" s="101"/>
      <c r="M877" s="99"/>
      <c r="N877" s="100"/>
      <c r="O877" s="102"/>
      <c r="Q877" s="103"/>
      <c r="R877" s="100"/>
      <c r="S877" s="102"/>
      <c r="U877" s="100"/>
      <c r="V877" s="100"/>
      <c r="X877" s="104"/>
      <c r="Z877" s="100"/>
    </row>
    <row r="878" spans="4:26" ht="14.25" customHeight="1" x14ac:dyDescent="0.25">
      <c r="D878" s="116"/>
      <c r="G878" s="111"/>
      <c r="H878" s="98"/>
      <c r="I878" s="99"/>
      <c r="J878" s="100"/>
      <c r="K878" s="101"/>
      <c r="M878" s="99"/>
      <c r="N878" s="100"/>
      <c r="O878" s="102"/>
      <c r="Q878" s="103"/>
      <c r="R878" s="100"/>
      <c r="S878" s="102"/>
      <c r="U878" s="100"/>
      <c r="V878" s="100"/>
      <c r="X878" s="104"/>
      <c r="Z878" s="100"/>
    </row>
    <row r="879" spans="4:26" ht="14.25" customHeight="1" x14ac:dyDescent="0.25">
      <c r="D879" s="116"/>
      <c r="G879" s="111"/>
      <c r="H879" s="98"/>
      <c r="I879" s="99"/>
      <c r="J879" s="100"/>
      <c r="K879" s="101"/>
      <c r="M879" s="99"/>
      <c r="N879" s="100"/>
      <c r="O879" s="102"/>
      <c r="Q879" s="103"/>
      <c r="R879" s="100"/>
      <c r="S879" s="102"/>
      <c r="U879" s="100"/>
      <c r="V879" s="100"/>
      <c r="X879" s="104"/>
      <c r="Z879" s="100"/>
    </row>
    <row r="880" spans="4:26" ht="14.25" customHeight="1" x14ac:dyDescent="0.25">
      <c r="D880" s="116"/>
      <c r="G880" s="111"/>
      <c r="H880" s="98"/>
      <c r="I880" s="99"/>
      <c r="J880" s="100"/>
      <c r="K880" s="101"/>
      <c r="M880" s="99"/>
      <c r="N880" s="100"/>
      <c r="O880" s="102"/>
      <c r="Q880" s="103"/>
      <c r="R880" s="100"/>
      <c r="S880" s="102"/>
      <c r="U880" s="100"/>
      <c r="V880" s="100"/>
      <c r="X880" s="104"/>
      <c r="Z880" s="100"/>
    </row>
    <row r="881" spans="4:26" ht="14.25" customHeight="1" x14ac:dyDescent="0.25">
      <c r="D881" s="116"/>
      <c r="G881" s="111"/>
      <c r="H881" s="98"/>
      <c r="I881" s="99"/>
      <c r="J881" s="100"/>
      <c r="K881" s="101"/>
      <c r="M881" s="99"/>
      <c r="N881" s="100"/>
      <c r="O881" s="102"/>
      <c r="Q881" s="103"/>
      <c r="R881" s="100"/>
      <c r="S881" s="102"/>
      <c r="U881" s="100"/>
      <c r="V881" s="100"/>
      <c r="X881" s="104"/>
      <c r="Z881" s="100"/>
    </row>
    <row r="882" spans="4:26" ht="14.25" customHeight="1" x14ac:dyDescent="0.25">
      <c r="D882" s="116"/>
      <c r="G882" s="111"/>
      <c r="H882" s="98"/>
      <c r="I882" s="99"/>
      <c r="J882" s="100"/>
      <c r="K882" s="101"/>
      <c r="M882" s="99"/>
      <c r="N882" s="100"/>
      <c r="O882" s="102"/>
      <c r="Q882" s="103"/>
      <c r="R882" s="100"/>
      <c r="S882" s="102"/>
      <c r="U882" s="100"/>
      <c r="V882" s="100"/>
      <c r="X882" s="104"/>
      <c r="Z882" s="100"/>
    </row>
    <row r="883" spans="4:26" ht="14.25" customHeight="1" x14ac:dyDescent="0.25">
      <c r="D883" s="116"/>
      <c r="G883" s="111"/>
      <c r="H883" s="98"/>
      <c r="I883" s="99"/>
      <c r="J883" s="100"/>
      <c r="K883" s="101"/>
      <c r="M883" s="99"/>
      <c r="N883" s="100"/>
      <c r="O883" s="102"/>
      <c r="Q883" s="103"/>
      <c r="R883" s="100"/>
      <c r="S883" s="102"/>
      <c r="U883" s="100"/>
      <c r="V883" s="100"/>
      <c r="X883" s="104"/>
      <c r="Z883" s="100"/>
    </row>
    <row r="884" spans="4:26" ht="14.25" customHeight="1" x14ac:dyDescent="0.25">
      <c r="D884" s="116"/>
      <c r="G884" s="111"/>
      <c r="H884" s="98"/>
      <c r="I884" s="99"/>
      <c r="J884" s="100"/>
      <c r="K884" s="101"/>
      <c r="M884" s="99"/>
      <c r="N884" s="100"/>
      <c r="O884" s="102"/>
      <c r="Q884" s="103"/>
      <c r="R884" s="100"/>
      <c r="S884" s="102"/>
      <c r="U884" s="100"/>
      <c r="V884" s="100"/>
      <c r="X884" s="104"/>
      <c r="Z884" s="100"/>
    </row>
    <row r="885" spans="4:26" ht="14.25" customHeight="1" x14ac:dyDescent="0.25">
      <c r="D885" s="116"/>
      <c r="G885" s="111"/>
      <c r="H885" s="98"/>
      <c r="I885" s="99"/>
      <c r="J885" s="100"/>
      <c r="K885" s="101"/>
      <c r="M885" s="99"/>
      <c r="N885" s="100"/>
      <c r="O885" s="102"/>
      <c r="Q885" s="103"/>
      <c r="R885" s="100"/>
      <c r="S885" s="102"/>
      <c r="U885" s="100"/>
      <c r="V885" s="100"/>
      <c r="X885" s="104"/>
      <c r="Z885" s="100"/>
    </row>
    <row r="886" spans="4:26" ht="14.25" customHeight="1" x14ac:dyDescent="0.25">
      <c r="D886" s="116"/>
      <c r="G886" s="111"/>
      <c r="H886" s="98"/>
      <c r="I886" s="99"/>
      <c r="J886" s="100"/>
      <c r="K886" s="101"/>
      <c r="M886" s="99"/>
      <c r="N886" s="100"/>
      <c r="O886" s="102"/>
      <c r="Q886" s="103"/>
      <c r="R886" s="100"/>
      <c r="S886" s="102"/>
      <c r="U886" s="100"/>
      <c r="V886" s="100"/>
      <c r="X886" s="104"/>
      <c r="Z886" s="100"/>
    </row>
    <row r="887" spans="4:26" ht="14.25" customHeight="1" x14ac:dyDescent="0.25">
      <c r="D887" s="116"/>
      <c r="G887" s="111"/>
      <c r="H887" s="98"/>
      <c r="I887" s="99"/>
      <c r="J887" s="100"/>
      <c r="K887" s="101"/>
      <c r="M887" s="99"/>
      <c r="N887" s="100"/>
      <c r="O887" s="102"/>
      <c r="Q887" s="103"/>
      <c r="R887" s="100"/>
      <c r="S887" s="102"/>
      <c r="U887" s="100"/>
      <c r="V887" s="100"/>
      <c r="X887" s="104"/>
      <c r="Z887" s="100"/>
    </row>
    <row r="888" spans="4:26" ht="14.25" customHeight="1" x14ac:dyDescent="0.25">
      <c r="D888" s="116"/>
      <c r="G888" s="111"/>
      <c r="H888" s="98"/>
      <c r="I888" s="99"/>
      <c r="J888" s="100"/>
      <c r="K888" s="101"/>
      <c r="M888" s="99"/>
      <c r="N888" s="100"/>
      <c r="O888" s="102"/>
      <c r="Q888" s="103"/>
      <c r="R888" s="100"/>
      <c r="S888" s="102"/>
      <c r="U888" s="100"/>
      <c r="V888" s="100"/>
      <c r="X888" s="104"/>
      <c r="Z888" s="100"/>
    </row>
    <row r="889" spans="4:26" ht="14.25" customHeight="1" x14ac:dyDescent="0.25">
      <c r="D889" s="116"/>
      <c r="G889" s="111"/>
      <c r="H889" s="98"/>
      <c r="I889" s="99"/>
      <c r="J889" s="100"/>
      <c r="K889" s="101"/>
      <c r="M889" s="99"/>
      <c r="N889" s="100"/>
      <c r="O889" s="102"/>
      <c r="Q889" s="103"/>
      <c r="R889" s="100"/>
      <c r="S889" s="102"/>
      <c r="U889" s="100"/>
      <c r="V889" s="100"/>
      <c r="X889" s="104"/>
      <c r="Z889" s="100"/>
    </row>
    <row r="890" spans="4:26" ht="14.25" customHeight="1" x14ac:dyDescent="0.25">
      <c r="D890" s="116"/>
      <c r="G890" s="111"/>
      <c r="H890" s="98"/>
      <c r="I890" s="99"/>
      <c r="J890" s="100"/>
      <c r="K890" s="101"/>
      <c r="M890" s="99"/>
      <c r="N890" s="100"/>
      <c r="O890" s="102"/>
      <c r="Q890" s="103"/>
      <c r="R890" s="100"/>
      <c r="S890" s="102"/>
      <c r="U890" s="100"/>
      <c r="V890" s="100"/>
      <c r="X890" s="104"/>
      <c r="Z890" s="100"/>
    </row>
    <row r="891" spans="4:26" ht="14.25" customHeight="1" x14ac:dyDescent="0.25">
      <c r="D891" s="116"/>
      <c r="G891" s="111"/>
      <c r="H891" s="98"/>
      <c r="I891" s="99"/>
      <c r="J891" s="100"/>
      <c r="K891" s="101"/>
      <c r="M891" s="99"/>
      <c r="N891" s="100"/>
      <c r="O891" s="102"/>
      <c r="Q891" s="103"/>
      <c r="R891" s="100"/>
      <c r="S891" s="102"/>
      <c r="U891" s="100"/>
      <c r="V891" s="100"/>
      <c r="X891" s="104"/>
      <c r="Z891" s="100"/>
    </row>
    <row r="892" spans="4:26" ht="14.25" customHeight="1" x14ac:dyDescent="0.25">
      <c r="D892" s="116"/>
      <c r="G892" s="111"/>
      <c r="H892" s="98"/>
      <c r="I892" s="99"/>
      <c r="J892" s="100"/>
      <c r="K892" s="101"/>
      <c r="M892" s="99"/>
      <c r="N892" s="100"/>
      <c r="O892" s="102"/>
      <c r="Q892" s="103"/>
      <c r="R892" s="100"/>
      <c r="S892" s="102"/>
      <c r="U892" s="100"/>
      <c r="V892" s="100"/>
      <c r="X892" s="104"/>
      <c r="Z892" s="100"/>
    </row>
    <row r="893" spans="4:26" ht="14.25" customHeight="1" x14ac:dyDescent="0.25">
      <c r="D893" s="116"/>
      <c r="G893" s="111"/>
      <c r="H893" s="98"/>
      <c r="I893" s="99"/>
      <c r="J893" s="100"/>
      <c r="K893" s="101"/>
      <c r="M893" s="99"/>
      <c r="N893" s="100"/>
      <c r="O893" s="102"/>
      <c r="Q893" s="103"/>
      <c r="R893" s="100"/>
      <c r="S893" s="102"/>
      <c r="U893" s="100"/>
      <c r="V893" s="100"/>
      <c r="X893" s="104"/>
      <c r="Z893" s="100"/>
    </row>
    <row r="894" spans="4:26" ht="14.25" customHeight="1" x14ac:dyDescent="0.25">
      <c r="D894" s="116"/>
      <c r="G894" s="111"/>
      <c r="H894" s="98"/>
      <c r="I894" s="99"/>
      <c r="J894" s="100"/>
      <c r="K894" s="101"/>
      <c r="M894" s="99"/>
      <c r="N894" s="100"/>
      <c r="O894" s="102"/>
      <c r="Q894" s="103"/>
      <c r="R894" s="100"/>
      <c r="S894" s="102"/>
      <c r="U894" s="100"/>
      <c r="V894" s="100"/>
      <c r="X894" s="104"/>
      <c r="Z894" s="100"/>
    </row>
    <row r="895" spans="4:26" ht="14.25" customHeight="1" x14ac:dyDescent="0.25">
      <c r="D895" s="116"/>
      <c r="G895" s="111"/>
      <c r="H895" s="98"/>
      <c r="I895" s="99"/>
      <c r="J895" s="100"/>
      <c r="K895" s="101"/>
      <c r="M895" s="99"/>
      <c r="N895" s="100"/>
      <c r="O895" s="102"/>
      <c r="Q895" s="103"/>
      <c r="R895" s="100"/>
      <c r="S895" s="102"/>
      <c r="U895" s="100"/>
      <c r="V895" s="100"/>
      <c r="X895" s="104"/>
      <c r="Z895" s="100"/>
    </row>
    <row r="896" spans="4:26" ht="14.25" customHeight="1" x14ac:dyDescent="0.25">
      <c r="D896" s="116"/>
      <c r="G896" s="111"/>
      <c r="H896" s="98"/>
      <c r="I896" s="99"/>
      <c r="J896" s="100"/>
      <c r="K896" s="101"/>
      <c r="M896" s="99"/>
      <c r="N896" s="100"/>
      <c r="O896" s="102"/>
      <c r="Q896" s="103"/>
      <c r="R896" s="100"/>
      <c r="S896" s="102"/>
      <c r="U896" s="100"/>
      <c r="V896" s="100"/>
      <c r="X896" s="104"/>
      <c r="Z896" s="100"/>
    </row>
    <row r="897" spans="4:26" ht="14.25" customHeight="1" x14ac:dyDescent="0.25">
      <c r="D897" s="116"/>
      <c r="G897" s="111"/>
      <c r="H897" s="98"/>
      <c r="I897" s="99"/>
      <c r="J897" s="100"/>
      <c r="K897" s="101"/>
      <c r="M897" s="99"/>
      <c r="N897" s="100"/>
      <c r="O897" s="102"/>
      <c r="Q897" s="103"/>
      <c r="R897" s="100"/>
      <c r="S897" s="102"/>
      <c r="U897" s="100"/>
      <c r="V897" s="100"/>
      <c r="X897" s="104"/>
      <c r="Z897" s="100"/>
    </row>
    <row r="898" spans="4:26" ht="14.25" customHeight="1" x14ac:dyDescent="0.25">
      <c r="D898" s="116"/>
      <c r="G898" s="111"/>
      <c r="H898" s="98"/>
      <c r="I898" s="99"/>
      <c r="J898" s="100"/>
      <c r="K898" s="101"/>
      <c r="M898" s="99"/>
      <c r="N898" s="100"/>
      <c r="O898" s="102"/>
      <c r="Q898" s="103"/>
      <c r="R898" s="100"/>
      <c r="S898" s="102"/>
      <c r="U898" s="100"/>
      <c r="V898" s="100"/>
      <c r="X898" s="104"/>
      <c r="Z898" s="100"/>
    </row>
    <row r="899" spans="4:26" ht="14.25" customHeight="1" x14ac:dyDescent="0.25">
      <c r="D899" s="116"/>
      <c r="G899" s="111"/>
      <c r="H899" s="98"/>
      <c r="I899" s="99"/>
      <c r="J899" s="100"/>
      <c r="K899" s="101"/>
      <c r="M899" s="99"/>
      <c r="N899" s="100"/>
      <c r="O899" s="102"/>
      <c r="Q899" s="103"/>
      <c r="R899" s="100"/>
      <c r="S899" s="102"/>
      <c r="U899" s="100"/>
      <c r="V899" s="100"/>
      <c r="X899" s="104"/>
      <c r="Z899" s="100"/>
    </row>
    <row r="900" spans="4:26" ht="14.25" customHeight="1" x14ac:dyDescent="0.25">
      <c r="D900" s="116"/>
      <c r="G900" s="111"/>
      <c r="H900" s="98"/>
      <c r="I900" s="99"/>
      <c r="J900" s="100"/>
      <c r="K900" s="101"/>
      <c r="M900" s="99"/>
      <c r="N900" s="100"/>
      <c r="O900" s="102"/>
      <c r="Q900" s="103"/>
      <c r="R900" s="100"/>
      <c r="S900" s="102"/>
      <c r="U900" s="100"/>
      <c r="V900" s="100"/>
      <c r="X900" s="104"/>
      <c r="Z900" s="100"/>
    </row>
    <row r="901" spans="4:26" ht="14.25" customHeight="1" x14ac:dyDescent="0.25">
      <c r="D901" s="116"/>
      <c r="G901" s="111"/>
      <c r="H901" s="98"/>
      <c r="I901" s="99"/>
      <c r="J901" s="100"/>
      <c r="K901" s="101"/>
      <c r="M901" s="99"/>
      <c r="N901" s="100"/>
      <c r="O901" s="102"/>
      <c r="Q901" s="103"/>
      <c r="R901" s="100"/>
      <c r="S901" s="102"/>
      <c r="U901" s="100"/>
      <c r="V901" s="100"/>
      <c r="X901" s="104"/>
      <c r="Z901" s="100"/>
    </row>
    <row r="902" spans="4:26" ht="14.25" customHeight="1" x14ac:dyDescent="0.25">
      <c r="D902" s="116"/>
      <c r="G902" s="111"/>
      <c r="H902" s="98"/>
      <c r="I902" s="99"/>
      <c r="J902" s="100"/>
      <c r="K902" s="101"/>
      <c r="M902" s="99"/>
      <c r="N902" s="100"/>
      <c r="O902" s="102"/>
      <c r="Q902" s="103"/>
      <c r="R902" s="100"/>
      <c r="S902" s="102"/>
      <c r="U902" s="100"/>
      <c r="V902" s="100"/>
      <c r="X902" s="104"/>
      <c r="Z902" s="100"/>
    </row>
    <row r="903" spans="4:26" ht="14.25" customHeight="1" x14ac:dyDescent="0.25">
      <c r="D903" s="116"/>
      <c r="G903" s="111"/>
      <c r="H903" s="98"/>
      <c r="I903" s="99"/>
      <c r="J903" s="100"/>
      <c r="K903" s="101"/>
      <c r="M903" s="99"/>
      <c r="N903" s="100"/>
      <c r="O903" s="102"/>
      <c r="Q903" s="103"/>
      <c r="R903" s="100"/>
      <c r="S903" s="102"/>
      <c r="U903" s="100"/>
      <c r="V903" s="100"/>
      <c r="X903" s="104"/>
      <c r="Z903" s="100"/>
    </row>
    <row r="904" spans="4:26" ht="14.25" customHeight="1" x14ac:dyDescent="0.25">
      <c r="D904" s="116"/>
      <c r="G904" s="111"/>
      <c r="H904" s="98"/>
      <c r="I904" s="99"/>
      <c r="J904" s="100"/>
      <c r="K904" s="101"/>
      <c r="M904" s="99"/>
      <c r="N904" s="100"/>
      <c r="O904" s="102"/>
      <c r="Q904" s="103"/>
      <c r="R904" s="100"/>
      <c r="S904" s="102"/>
      <c r="U904" s="100"/>
      <c r="V904" s="100"/>
      <c r="X904" s="104"/>
      <c r="Z904" s="100"/>
    </row>
    <row r="905" spans="4:26" ht="14.25" customHeight="1" x14ac:dyDescent="0.25">
      <c r="D905" s="116"/>
      <c r="G905" s="111"/>
      <c r="H905" s="98"/>
      <c r="I905" s="99"/>
      <c r="J905" s="100"/>
      <c r="K905" s="101"/>
      <c r="M905" s="99"/>
      <c r="N905" s="100"/>
      <c r="O905" s="102"/>
      <c r="Q905" s="103"/>
      <c r="R905" s="100"/>
      <c r="S905" s="102"/>
      <c r="U905" s="100"/>
      <c r="V905" s="100"/>
      <c r="X905" s="104"/>
      <c r="Z905" s="100"/>
    </row>
    <row r="906" spans="4:26" ht="14.25" customHeight="1" x14ac:dyDescent="0.25">
      <c r="D906" s="116"/>
      <c r="G906" s="111"/>
      <c r="H906" s="98"/>
      <c r="I906" s="99"/>
      <c r="J906" s="100"/>
      <c r="K906" s="101"/>
      <c r="M906" s="99"/>
      <c r="N906" s="100"/>
      <c r="O906" s="102"/>
      <c r="Q906" s="103"/>
      <c r="R906" s="100"/>
      <c r="S906" s="102"/>
      <c r="U906" s="100"/>
      <c r="V906" s="100"/>
      <c r="X906" s="104"/>
      <c r="Z906" s="100"/>
    </row>
    <row r="907" spans="4:26" ht="14.25" customHeight="1" x14ac:dyDescent="0.25">
      <c r="D907" s="116"/>
      <c r="G907" s="111"/>
      <c r="H907" s="98"/>
      <c r="I907" s="99"/>
      <c r="J907" s="100"/>
      <c r="K907" s="101"/>
      <c r="M907" s="99"/>
      <c r="N907" s="100"/>
      <c r="O907" s="102"/>
      <c r="Q907" s="103"/>
      <c r="R907" s="100"/>
      <c r="S907" s="102"/>
      <c r="U907" s="100"/>
      <c r="V907" s="100"/>
      <c r="X907" s="104"/>
      <c r="Z907" s="100"/>
    </row>
    <row r="908" spans="4:26" ht="14.25" customHeight="1" x14ac:dyDescent="0.25">
      <c r="D908" s="116"/>
      <c r="G908" s="111"/>
      <c r="H908" s="98"/>
      <c r="I908" s="99"/>
      <c r="J908" s="100"/>
      <c r="K908" s="101"/>
      <c r="M908" s="99"/>
      <c r="N908" s="100"/>
      <c r="O908" s="102"/>
      <c r="Q908" s="103"/>
      <c r="R908" s="100"/>
      <c r="S908" s="102"/>
      <c r="U908" s="100"/>
      <c r="V908" s="100"/>
      <c r="X908" s="104"/>
      <c r="Z908" s="100"/>
    </row>
    <row r="909" spans="4:26" ht="14.25" customHeight="1" x14ac:dyDescent="0.25">
      <c r="D909" s="116"/>
      <c r="G909" s="111"/>
      <c r="H909" s="98"/>
      <c r="I909" s="99"/>
      <c r="J909" s="100"/>
      <c r="K909" s="101"/>
      <c r="M909" s="99"/>
      <c r="N909" s="100"/>
      <c r="O909" s="102"/>
      <c r="Q909" s="103"/>
      <c r="R909" s="100"/>
      <c r="S909" s="102"/>
      <c r="U909" s="100"/>
      <c r="V909" s="100"/>
      <c r="X909" s="104"/>
      <c r="Z909" s="100"/>
    </row>
    <row r="910" spans="4:26" ht="14.25" customHeight="1" x14ac:dyDescent="0.25">
      <c r="D910" s="116"/>
      <c r="G910" s="111"/>
      <c r="H910" s="98"/>
      <c r="I910" s="99"/>
      <c r="J910" s="100"/>
      <c r="K910" s="101"/>
      <c r="M910" s="99"/>
      <c r="N910" s="100"/>
      <c r="O910" s="102"/>
      <c r="Q910" s="103"/>
      <c r="R910" s="100"/>
      <c r="S910" s="102"/>
      <c r="U910" s="100"/>
      <c r="V910" s="100"/>
      <c r="X910" s="104"/>
      <c r="Z910" s="100"/>
    </row>
    <row r="911" spans="4:26" ht="14.25" customHeight="1" x14ac:dyDescent="0.25">
      <c r="D911" s="116"/>
      <c r="G911" s="111"/>
      <c r="H911" s="98"/>
      <c r="I911" s="99"/>
      <c r="J911" s="100"/>
      <c r="K911" s="101"/>
      <c r="M911" s="99"/>
      <c r="N911" s="100"/>
      <c r="O911" s="102"/>
      <c r="Q911" s="103"/>
      <c r="R911" s="100"/>
      <c r="S911" s="102"/>
      <c r="U911" s="100"/>
      <c r="V911" s="100"/>
      <c r="X911" s="104"/>
      <c r="Z911" s="100"/>
    </row>
    <row r="912" spans="4:26" ht="14.25" customHeight="1" x14ac:dyDescent="0.25">
      <c r="D912" s="116"/>
      <c r="G912" s="111"/>
      <c r="H912" s="98"/>
      <c r="I912" s="99"/>
      <c r="J912" s="100"/>
      <c r="K912" s="101"/>
      <c r="M912" s="99"/>
      <c r="N912" s="100"/>
      <c r="O912" s="102"/>
      <c r="Q912" s="103"/>
      <c r="R912" s="100"/>
      <c r="S912" s="102"/>
      <c r="U912" s="100"/>
      <c r="V912" s="100"/>
      <c r="X912" s="104"/>
      <c r="Z912" s="100"/>
    </row>
    <row r="913" spans="4:26" ht="14.25" customHeight="1" x14ac:dyDescent="0.25">
      <c r="D913" s="116"/>
      <c r="G913" s="111"/>
      <c r="H913" s="98"/>
      <c r="I913" s="99"/>
      <c r="J913" s="100"/>
      <c r="K913" s="101"/>
      <c r="M913" s="99"/>
      <c r="N913" s="100"/>
      <c r="O913" s="102"/>
      <c r="Q913" s="103"/>
      <c r="R913" s="100"/>
      <c r="S913" s="102"/>
      <c r="U913" s="100"/>
      <c r="V913" s="100"/>
      <c r="X913" s="104"/>
      <c r="Z913" s="100"/>
    </row>
    <row r="914" spans="4:26" ht="14.25" customHeight="1" x14ac:dyDescent="0.25">
      <c r="D914" s="116"/>
      <c r="G914" s="111"/>
      <c r="H914" s="98"/>
      <c r="I914" s="99"/>
      <c r="J914" s="100"/>
      <c r="K914" s="101"/>
      <c r="M914" s="99"/>
      <c r="N914" s="100"/>
      <c r="O914" s="102"/>
      <c r="Q914" s="103"/>
      <c r="R914" s="100"/>
      <c r="S914" s="102"/>
      <c r="U914" s="100"/>
      <c r="V914" s="100"/>
      <c r="X914" s="104"/>
      <c r="Z914" s="100"/>
    </row>
    <row r="915" spans="4:26" ht="14.25" customHeight="1" x14ac:dyDescent="0.25">
      <c r="D915" s="116"/>
      <c r="G915" s="111"/>
      <c r="H915" s="98"/>
      <c r="I915" s="99"/>
      <c r="J915" s="100"/>
      <c r="K915" s="101"/>
      <c r="M915" s="99"/>
      <c r="N915" s="100"/>
      <c r="O915" s="102"/>
      <c r="Q915" s="103"/>
      <c r="R915" s="100"/>
      <c r="S915" s="102"/>
      <c r="U915" s="100"/>
      <c r="V915" s="100"/>
      <c r="X915" s="104"/>
      <c r="Z915" s="100"/>
    </row>
    <row r="916" spans="4:26" ht="14.25" customHeight="1" x14ac:dyDescent="0.25">
      <c r="D916" s="116"/>
      <c r="G916" s="111"/>
      <c r="H916" s="98"/>
      <c r="I916" s="99"/>
      <c r="J916" s="100"/>
      <c r="K916" s="101"/>
      <c r="M916" s="99"/>
      <c r="N916" s="100"/>
      <c r="O916" s="102"/>
      <c r="Q916" s="103"/>
      <c r="R916" s="100"/>
      <c r="S916" s="102"/>
      <c r="U916" s="100"/>
      <c r="V916" s="100"/>
      <c r="X916" s="104"/>
      <c r="Z916" s="100"/>
    </row>
    <row r="917" spans="4:26" ht="14.25" customHeight="1" x14ac:dyDescent="0.25">
      <c r="D917" s="116"/>
      <c r="G917" s="111"/>
      <c r="H917" s="98"/>
      <c r="I917" s="99"/>
      <c r="J917" s="100"/>
      <c r="K917" s="101"/>
      <c r="M917" s="99"/>
      <c r="N917" s="100"/>
      <c r="O917" s="102"/>
      <c r="Q917" s="103"/>
      <c r="R917" s="100"/>
      <c r="S917" s="102"/>
      <c r="U917" s="100"/>
      <c r="V917" s="100"/>
      <c r="X917" s="104"/>
      <c r="Z917" s="100"/>
    </row>
    <row r="918" spans="4:26" ht="14.25" customHeight="1" x14ac:dyDescent="0.25">
      <c r="D918" s="116"/>
      <c r="G918" s="111"/>
      <c r="H918" s="98"/>
      <c r="I918" s="99"/>
      <c r="J918" s="100"/>
      <c r="K918" s="101"/>
      <c r="M918" s="99"/>
      <c r="N918" s="100"/>
      <c r="O918" s="102"/>
      <c r="Q918" s="103"/>
      <c r="R918" s="100"/>
      <c r="S918" s="102"/>
      <c r="U918" s="100"/>
      <c r="V918" s="100"/>
      <c r="X918" s="104"/>
      <c r="Z918" s="100"/>
    </row>
    <row r="919" spans="4:26" ht="14.25" customHeight="1" x14ac:dyDescent="0.25">
      <c r="D919" s="116"/>
      <c r="G919" s="111"/>
      <c r="H919" s="98"/>
      <c r="I919" s="99"/>
      <c r="J919" s="100"/>
      <c r="K919" s="101"/>
      <c r="M919" s="99"/>
      <c r="N919" s="100"/>
      <c r="O919" s="102"/>
      <c r="Q919" s="103"/>
      <c r="R919" s="100"/>
      <c r="S919" s="102"/>
      <c r="U919" s="100"/>
      <c r="V919" s="100"/>
      <c r="X919" s="104"/>
      <c r="Z919" s="100"/>
    </row>
    <row r="920" spans="4:26" ht="14.25" customHeight="1" x14ac:dyDescent="0.25">
      <c r="D920" s="116"/>
      <c r="G920" s="111"/>
      <c r="H920" s="98"/>
      <c r="I920" s="99"/>
      <c r="J920" s="100"/>
      <c r="K920" s="101"/>
      <c r="M920" s="99"/>
      <c r="N920" s="100"/>
      <c r="O920" s="102"/>
      <c r="Q920" s="103"/>
      <c r="R920" s="100"/>
      <c r="S920" s="102"/>
      <c r="U920" s="100"/>
      <c r="V920" s="100"/>
      <c r="X920" s="104"/>
      <c r="Z920" s="100"/>
    </row>
    <row r="921" spans="4:26" ht="14.25" customHeight="1" x14ac:dyDescent="0.25">
      <c r="D921" s="116"/>
      <c r="G921" s="111"/>
      <c r="H921" s="98"/>
      <c r="I921" s="99"/>
      <c r="J921" s="100"/>
      <c r="K921" s="101"/>
      <c r="M921" s="99"/>
      <c r="N921" s="100"/>
      <c r="O921" s="102"/>
      <c r="Q921" s="103"/>
      <c r="R921" s="100"/>
      <c r="S921" s="102"/>
      <c r="U921" s="100"/>
      <c r="V921" s="100"/>
      <c r="X921" s="104"/>
      <c r="Z921" s="100"/>
    </row>
    <row r="922" spans="4:26" ht="14.25" customHeight="1" x14ac:dyDescent="0.25">
      <c r="D922" s="116"/>
      <c r="G922" s="111"/>
      <c r="H922" s="98"/>
      <c r="I922" s="99"/>
      <c r="J922" s="100"/>
      <c r="K922" s="101"/>
      <c r="M922" s="99"/>
      <c r="N922" s="100"/>
      <c r="O922" s="102"/>
      <c r="Q922" s="103"/>
      <c r="R922" s="100"/>
      <c r="S922" s="102"/>
      <c r="U922" s="100"/>
      <c r="V922" s="100"/>
      <c r="X922" s="104"/>
      <c r="Z922" s="100"/>
    </row>
    <row r="923" spans="4:26" ht="14.25" customHeight="1" x14ac:dyDescent="0.25">
      <c r="D923" s="116"/>
      <c r="G923" s="111"/>
      <c r="H923" s="98"/>
      <c r="I923" s="99"/>
      <c r="J923" s="100"/>
      <c r="K923" s="101"/>
      <c r="M923" s="99"/>
      <c r="N923" s="100"/>
      <c r="O923" s="102"/>
      <c r="Q923" s="103"/>
      <c r="R923" s="100"/>
      <c r="S923" s="102"/>
      <c r="U923" s="100"/>
      <c r="V923" s="100"/>
      <c r="X923" s="104"/>
      <c r="Z923" s="100"/>
    </row>
    <row r="924" spans="4:26" ht="14.25" customHeight="1" x14ac:dyDescent="0.25">
      <c r="D924" s="116"/>
      <c r="G924" s="111"/>
      <c r="H924" s="98"/>
      <c r="I924" s="99"/>
      <c r="J924" s="100"/>
      <c r="K924" s="101"/>
      <c r="M924" s="99"/>
      <c r="N924" s="100"/>
      <c r="O924" s="102"/>
      <c r="Q924" s="103"/>
      <c r="R924" s="100"/>
      <c r="S924" s="102"/>
      <c r="U924" s="100"/>
      <c r="V924" s="100"/>
      <c r="X924" s="104"/>
      <c r="Z924" s="100"/>
    </row>
    <row r="925" spans="4:26" ht="14.25" customHeight="1" x14ac:dyDescent="0.25">
      <c r="D925" s="116"/>
      <c r="G925" s="111"/>
      <c r="H925" s="98"/>
      <c r="I925" s="99"/>
      <c r="J925" s="100"/>
      <c r="K925" s="101"/>
      <c r="M925" s="99"/>
      <c r="N925" s="100"/>
      <c r="O925" s="102"/>
      <c r="Q925" s="103"/>
      <c r="R925" s="100"/>
      <c r="S925" s="102"/>
      <c r="U925" s="100"/>
      <c r="V925" s="100"/>
      <c r="X925" s="104"/>
      <c r="Z925" s="100"/>
    </row>
    <row r="926" spans="4:26" ht="14.25" customHeight="1" x14ac:dyDescent="0.25">
      <c r="D926" s="116"/>
      <c r="G926" s="111"/>
      <c r="H926" s="98"/>
      <c r="I926" s="99"/>
      <c r="J926" s="100"/>
      <c r="K926" s="101"/>
      <c r="M926" s="99"/>
      <c r="N926" s="100"/>
      <c r="O926" s="102"/>
      <c r="Q926" s="103"/>
      <c r="R926" s="100"/>
      <c r="S926" s="102"/>
      <c r="U926" s="100"/>
      <c r="V926" s="100"/>
      <c r="X926" s="104"/>
      <c r="Z926" s="100"/>
    </row>
    <row r="927" spans="4:26" ht="14.25" customHeight="1" x14ac:dyDescent="0.25">
      <c r="D927" s="116"/>
      <c r="G927" s="111"/>
      <c r="H927" s="98"/>
      <c r="I927" s="99"/>
      <c r="J927" s="100"/>
      <c r="K927" s="101"/>
      <c r="M927" s="99"/>
      <c r="N927" s="100"/>
      <c r="O927" s="102"/>
      <c r="Q927" s="103"/>
      <c r="R927" s="100"/>
      <c r="S927" s="102"/>
      <c r="U927" s="100"/>
      <c r="V927" s="100"/>
      <c r="X927" s="104"/>
      <c r="Z927" s="100"/>
    </row>
    <row r="928" spans="4:26" ht="14.25" customHeight="1" x14ac:dyDescent="0.25">
      <c r="D928" s="116"/>
      <c r="G928" s="111"/>
      <c r="H928" s="98"/>
      <c r="I928" s="99"/>
      <c r="J928" s="100"/>
      <c r="K928" s="101"/>
      <c r="M928" s="99"/>
      <c r="N928" s="100"/>
      <c r="O928" s="102"/>
      <c r="Q928" s="103"/>
      <c r="R928" s="100"/>
      <c r="S928" s="102"/>
      <c r="U928" s="100"/>
      <c r="V928" s="100"/>
      <c r="X928" s="104"/>
      <c r="Z928" s="100"/>
    </row>
    <row r="929" spans="4:26" ht="14.25" customHeight="1" x14ac:dyDescent="0.25">
      <c r="D929" s="116"/>
      <c r="G929" s="111"/>
      <c r="H929" s="98"/>
      <c r="I929" s="99"/>
      <c r="J929" s="100"/>
      <c r="K929" s="101"/>
      <c r="M929" s="99"/>
      <c r="N929" s="100"/>
      <c r="O929" s="102"/>
      <c r="Q929" s="103"/>
      <c r="R929" s="100"/>
      <c r="S929" s="102"/>
      <c r="U929" s="100"/>
      <c r="V929" s="100"/>
      <c r="X929" s="104"/>
      <c r="Z929" s="100"/>
    </row>
    <row r="930" spans="4:26" ht="14.25" customHeight="1" x14ac:dyDescent="0.25">
      <c r="D930" s="116"/>
      <c r="G930" s="111"/>
      <c r="H930" s="98"/>
      <c r="I930" s="99"/>
      <c r="J930" s="100"/>
      <c r="K930" s="101"/>
      <c r="M930" s="99"/>
      <c r="N930" s="100"/>
      <c r="O930" s="102"/>
      <c r="Q930" s="103"/>
      <c r="R930" s="100"/>
      <c r="S930" s="102"/>
      <c r="U930" s="100"/>
      <c r="V930" s="100"/>
      <c r="X930" s="104"/>
      <c r="Z930" s="100"/>
    </row>
    <row r="931" spans="4:26" ht="14.25" customHeight="1" x14ac:dyDescent="0.25">
      <c r="D931" s="116"/>
      <c r="G931" s="111"/>
      <c r="H931" s="98"/>
      <c r="I931" s="99"/>
      <c r="J931" s="100"/>
      <c r="K931" s="101"/>
      <c r="M931" s="99"/>
      <c r="N931" s="100"/>
      <c r="O931" s="102"/>
      <c r="Q931" s="103"/>
      <c r="R931" s="100"/>
      <c r="S931" s="102"/>
      <c r="U931" s="100"/>
      <c r="V931" s="100"/>
      <c r="X931" s="104"/>
      <c r="Z931" s="100"/>
    </row>
    <row r="932" spans="4:26" ht="14.25" customHeight="1" x14ac:dyDescent="0.25">
      <c r="D932" s="116"/>
      <c r="G932" s="111"/>
      <c r="H932" s="98"/>
      <c r="I932" s="99"/>
      <c r="J932" s="100"/>
      <c r="K932" s="101"/>
      <c r="M932" s="99"/>
      <c r="N932" s="100"/>
      <c r="O932" s="102"/>
      <c r="Q932" s="103"/>
      <c r="R932" s="100"/>
      <c r="S932" s="102"/>
      <c r="U932" s="100"/>
      <c r="V932" s="100"/>
      <c r="X932" s="104"/>
      <c r="Z932" s="100"/>
    </row>
    <row r="933" spans="4:26" ht="14.25" customHeight="1" x14ac:dyDescent="0.25">
      <c r="D933" s="116"/>
      <c r="G933" s="111"/>
      <c r="H933" s="98"/>
      <c r="I933" s="99"/>
      <c r="J933" s="100"/>
      <c r="K933" s="101"/>
      <c r="M933" s="99"/>
      <c r="N933" s="100"/>
      <c r="O933" s="102"/>
      <c r="Q933" s="103"/>
      <c r="R933" s="100"/>
      <c r="S933" s="102"/>
      <c r="U933" s="100"/>
      <c r="V933" s="100"/>
      <c r="X933" s="104"/>
      <c r="Z933" s="100"/>
    </row>
    <row r="934" spans="4:26" ht="14.25" customHeight="1" x14ac:dyDescent="0.25">
      <c r="D934" s="116"/>
      <c r="G934" s="111"/>
      <c r="H934" s="98"/>
      <c r="I934" s="99"/>
      <c r="J934" s="100"/>
      <c r="K934" s="101"/>
      <c r="M934" s="99"/>
      <c r="N934" s="100"/>
      <c r="O934" s="102"/>
      <c r="Q934" s="103"/>
      <c r="R934" s="100"/>
      <c r="S934" s="102"/>
      <c r="U934" s="100"/>
      <c r="V934" s="100"/>
      <c r="X934" s="104"/>
      <c r="Z934" s="100"/>
    </row>
    <row r="935" spans="4:26" ht="14.25" customHeight="1" x14ac:dyDescent="0.25">
      <c r="D935" s="116"/>
      <c r="G935" s="111"/>
      <c r="H935" s="98"/>
      <c r="I935" s="99"/>
      <c r="J935" s="100"/>
      <c r="K935" s="101"/>
      <c r="M935" s="99"/>
      <c r="N935" s="100"/>
      <c r="O935" s="102"/>
      <c r="Q935" s="103"/>
      <c r="R935" s="100"/>
      <c r="S935" s="102"/>
      <c r="U935" s="100"/>
      <c r="V935" s="100"/>
      <c r="X935" s="104"/>
      <c r="Z935" s="100"/>
    </row>
    <row r="936" spans="4:26" ht="15.75" customHeight="1" x14ac:dyDescent="0.25">
      <c r="D936" s="118"/>
      <c r="G936" s="111"/>
      <c r="H936" s="98"/>
      <c r="I936" s="99"/>
      <c r="J936" s="100"/>
      <c r="K936" s="101"/>
      <c r="N936" s="100"/>
      <c r="O936" s="102"/>
      <c r="Q936" s="112"/>
      <c r="R936" s="100"/>
      <c r="S936" s="102"/>
      <c r="U936" s="100"/>
      <c r="V936" s="100"/>
      <c r="X936" s="104"/>
      <c r="Z936" s="100"/>
    </row>
    <row r="937" spans="4:26" ht="15" customHeight="1" x14ac:dyDescent="0.25">
      <c r="D937" s="118"/>
      <c r="G937" s="111">
        <f>SUBTOTAL(9,G3:G936)</f>
        <v>421020.7</v>
      </c>
      <c r="H937" s="98"/>
      <c r="I937" s="99"/>
      <c r="K937" s="101"/>
      <c r="N937" s="100"/>
      <c r="O937" s="102"/>
      <c r="Q937" s="112"/>
      <c r="R937" s="100"/>
      <c r="S937" s="102"/>
      <c r="U937" s="100"/>
      <c r="V937" s="100"/>
      <c r="X937" s="104"/>
      <c r="Z937" s="100"/>
    </row>
    <row r="938" spans="4:26" x14ac:dyDescent="0.25">
      <c r="K938" s="98"/>
    </row>
    <row r="939" spans="4:26" x14ac:dyDescent="0.25">
      <c r="K939" s="98"/>
    </row>
    <row r="940" spans="4:26" x14ac:dyDescent="0.25">
      <c r="K940" s="98"/>
    </row>
    <row r="941" spans="4:26" x14ac:dyDescent="0.25">
      <c r="K941" s="98"/>
    </row>
    <row r="942" spans="4:26" x14ac:dyDescent="0.25">
      <c r="K942" s="98"/>
    </row>
    <row r="943" spans="4:26" x14ac:dyDescent="0.25">
      <c r="K943" s="98"/>
    </row>
    <row r="944" spans="4:26" x14ac:dyDescent="0.25">
      <c r="K944" s="98"/>
    </row>
    <row r="945" spans="11:11" x14ac:dyDescent="0.25">
      <c r="K945" s="98"/>
    </row>
    <row r="946" spans="11:11" x14ac:dyDescent="0.25">
      <c r="K946" s="98"/>
    </row>
    <row r="947" spans="11:11" ht="15.75" customHeight="1" x14ac:dyDescent="0.25">
      <c r="K947" s="98"/>
    </row>
  </sheetData>
  <autoFilter ref="A2:ALR158" xr:uid="{00000000-0009-0000-0000-000000000000}"/>
  <conditionalFormatting sqref="B63">
    <cfRule type="duplicateValues" dxfId="44" priority="35"/>
  </conditionalFormatting>
  <conditionalFormatting sqref="B166:B1048576 B2:B52 B54:B62 B64:B67 B70:B84 B86:B163">
    <cfRule type="duplicateValues" dxfId="43" priority="38"/>
  </conditionalFormatting>
  <conditionalFormatting sqref="J3:J135 J137:J152">
    <cfRule type="expression" dxfId="42" priority="25" stopIfTrue="1">
      <formula>L3="Paid"</formula>
    </cfRule>
    <cfRule type="expression" dxfId="41" priority="46" stopIfTrue="1">
      <formula>L3="Paid by Owner"</formula>
    </cfRule>
    <cfRule type="expression" dxfId="40" priority="47" stopIfTrue="1">
      <formula>K3=TODAY()</formula>
    </cfRule>
    <cfRule type="expression" dxfId="39" priority="48" stopIfTrue="1">
      <formula>AND($K3-TODAY()&lt;=7, $K3-TODAY()&gt;=0)</formula>
    </cfRule>
    <cfRule type="expression" dxfId="38" priority="50" stopIfTrue="1">
      <formula>L3="N/A"</formula>
    </cfRule>
    <cfRule type="expression" dxfId="37" priority="105" stopIfTrue="1">
      <formula>L3="For turnover"</formula>
    </cfRule>
    <cfRule type="expression" dxfId="36" priority="138" stopIfTrue="1">
      <formula>AND($K3-TODAY()&lt;=7, $K3-TODAY()&gt;=0)</formula>
    </cfRule>
    <cfRule type="expression" dxfId="35" priority="139" stopIfTrue="1">
      <formula>K3&lt;TODAY()</formula>
    </cfRule>
    <cfRule type="expression" dxfId="34" priority="141" stopIfTrue="1">
      <formula>L3="N/A"</formula>
    </cfRule>
  </conditionalFormatting>
  <conditionalFormatting sqref="L3:L152 P3:P152 T3:T152 W3:W152 Y3:Y152">
    <cfRule type="expression" dxfId="33" priority="24">
      <formula>AND($K3-TODAY()&lt;=7, $K3-TODAY()&gt;=0)</formula>
    </cfRule>
  </conditionalFormatting>
  <conditionalFormatting sqref="N3:N152">
    <cfRule type="expression" dxfId="32" priority="18" stopIfTrue="1">
      <formula>P3="Paid"</formula>
    </cfRule>
    <cfRule type="expression" dxfId="31" priority="42" stopIfTrue="1">
      <formula>P3="Paid by Owner"</formula>
    </cfRule>
    <cfRule type="expression" dxfId="30" priority="52" stopIfTrue="1">
      <formula>P3="N/A"</formula>
    </cfRule>
    <cfRule type="expression" dxfId="29" priority="53" stopIfTrue="1">
      <formula>P3="For turnover"</formula>
    </cfRule>
    <cfRule type="expression" dxfId="28" priority="111" stopIfTrue="1">
      <formula>AND($O3&lt;=TODAY(),O3&lt;&gt;"")</formula>
    </cfRule>
    <cfRule type="expression" dxfId="27" priority="112" stopIfTrue="1">
      <formula>AND($O3-TODAY()&lt;=7, $O3-TODAY()&gt;=0)</formula>
    </cfRule>
  </conditionalFormatting>
  <conditionalFormatting sqref="R3:R152">
    <cfRule type="expression" dxfId="26" priority="12" stopIfTrue="1">
      <formula>T3="Paid"</formula>
    </cfRule>
    <cfRule type="expression" dxfId="25" priority="16" stopIfTrue="1">
      <formula>T3="Paid by Owner"</formula>
    </cfRule>
    <cfRule type="expression" dxfId="24" priority="17" stopIfTrue="1">
      <formula>T3="For turnover"</formula>
    </cfRule>
    <cfRule type="expression" dxfId="23" priority="56" stopIfTrue="1">
      <formula>T3="N/A"</formula>
    </cfRule>
    <cfRule type="expression" dxfId="22" priority="79" stopIfTrue="1">
      <formula>AND($S3&lt;=TODAY(),S3&lt;&gt;"")</formula>
    </cfRule>
    <cfRule type="expression" dxfId="21" priority="114" stopIfTrue="1">
      <formula>AND($S3-TODAY()&lt;=7, $S3-TODAY()&gt;=0)</formula>
    </cfRule>
  </conditionalFormatting>
  <conditionalFormatting sqref="U3:U152">
    <cfRule type="expression" dxfId="20" priority="6" stopIfTrue="1">
      <formula>W3="Paid"</formula>
    </cfRule>
    <cfRule type="expression" dxfId="19" priority="37" stopIfTrue="1">
      <formula>W3="paid by owner"</formula>
    </cfRule>
    <cfRule type="expression" dxfId="18" priority="44" stopIfTrue="1">
      <formula>W3="N/A"</formula>
    </cfRule>
    <cfRule type="expression" dxfId="17" priority="57" stopIfTrue="1">
      <formula>W3="For turnover"</formula>
    </cfRule>
    <cfRule type="expression" dxfId="16" priority="89">
      <formula>AND($V3-TODAY()&lt;=7, $V3-TODAY()&gt;=0)</formula>
    </cfRule>
    <cfRule type="expression" dxfId="15" priority="124">
      <formula>AND($V3&lt;=TODAY(),V3&lt;&gt;"")</formula>
    </cfRule>
  </conditionalFormatting>
  <conditionalFormatting sqref="X3:X89 X92:X152">
    <cfRule type="expression" dxfId="14" priority="21" stopIfTrue="1">
      <formula>Y3="For turnover"</formula>
    </cfRule>
    <cfRule type="expression" dxfId="13" priority="22" stopIfTrue="1">
      <formula>Y3=""</formula>
    </cfRule>
    <cfRule type="expression" dxfId="12" priority="23" stopIfTrue="1">
      <formula>Y3="Paid"</formula>
    </cfRule>
    <cfRule type="expression" dxfId="11" priority="26" stopIfTrue="1">
      <formula>Y3="N/A"</formula>
    </cfRule>
  </conditionalFormatting>
  <conditionalFormatting sqref="X71:X89">
    <cfRule type="expression" dxfId="10" priority="20" stopIfTrue="1">
      <formula>Y71="Unpaid"</formula>
    </cfRule>
  </conditionalFormatting>
  <conditionalFormatting sqref="X90:X91">
    <cfRule type="expression" dxfId="9" priority="181" stopIfTrue="1">
      <formula>Z90="N/A"</formula>
    </cfRule>
    <cfRule type="expression" dxfId="8" priority="182" stopIfTrue="1">
      <formula>Z90="For turnover"</formula>
    </cfRule>
    <cfRule type="expression" dxfId="7" priority="183" stopIfTrue="1">
      <formula>Z90="paid by owner"</formula>
    </cfRule>
    <cfRule type="expression" dxfId="6" priority="184" stopIfTrue="1">
      <formula>Y90=""</formula>
    </cfRule>
    <cfRule type="expression" dxfId="5" priority="185" stopIfTrue="1">
      <formula>Z90="Paid"</formula>
    </cfRule>
    <cfRule type="expression" dxfId="4" priority="186" stopIfTrue="1">
      <formula>Y90="N/A"</formula>
    </cfRule>
    <cfRule type="expression" dxfId="3" priority="187" stopIfTrue="1">
      <formula>Y90="Unpaid"</formula>
    </cfRule>
  </conditionalFormatting>
  <conditionalFormatting sqref="X92">
    <cfRule type="expression" dxfId="2" priority="92" stopIfTrue="1">
      <formula>Y92="Paid by Owner"</formula>
    </cfRule>
  </conditionalFormatting>
  <dataValidations count="4">
    <dataValidation type="list" allowBlank="1" showErrorMessage="1" sqref="W153:W937" xr:uid="{00000000-0002-0000-0000-000000000000}">
      <formula1>"Paid,Unpaid,N/A"</formula1>
    </dataValidation>
    <dataValidation type="list" allowBlank="1" showErrorMessage="1" sqref="L153:L937 P153:P937 T153:T937" xr:uid="{00000000-0002-0000-0000-000002000000}">
      <formula1>"Paid,Unpaid,Due"</formula1>
    </dataValidation>
    <dataValidation type="list" allowBlank="1" showErrorMessage="1" sqref="E139:E152" xr:uid="{00000000-0002-0000-0000-000001000000}">
      <formula1>"Fixed,Partnership"</formula1>
    </dataValidation>
    <dataValidation type="list" allowBlank="1" showErrorMessage="1" sqref="W3:W152 Y3:Y152 L3:L152 P3:P152 T3:T152" xr:uid="{00000000-0002-0000-0000-000003000000}">
      <formula1>"Paid,Unpaid,Due,Paid by Owner,For Turnover,N/A"</formula1>
    </dataValidation>
  </dataValidations>
  <pageMargins left="0.7" right="0.7" top="0.75" bottom="0.75" header="0" footer="0"/>
  <pageSetup paperSize="5" scale="8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98CE-DFDB-4688-9A3D-3FD0D743717B}">
  <dimension ref="B1:C125"/>
  <sheetViews>
    <sheetView workbookViewId="0">
      <selection activeCell="G118" sqref="G118:G119"/>
    </sheetView>
  </sheetViews>
  <sheetFormatPr defaultRowHeight="15" x14ac:dyDescent="0.25"/>
  <cols>
    <col min="2" max="3" width="17.140625" customWidth="1"/>
  </cols>
  <sheetData>
    <row r="1" spans="2:3" x14ac:dyDescent="0.25">
      <c r="B1" t="s">
        <v>653</v>
      </c>
      <c r="C1" t="s">
        <v>528</v>
      </c>
    </row>
    <row r="2" spans="2:3" x14ac:dyDescent="0.25">
      <c r="B2" t="s">
        <v>460</v>
      </c>
      <c r="C2" t="s">
        <v>529</v>
      </c>
    </row>
    <row r="3" spans="2:3" x14ac:dyDescent="0.25">
      <c r="B3" t="s">
        <v>135</v>
      </c>
      <c r="C3" t="s">
        <v>530</v>
      </c>
    </row>
    <row r="4" spans="2:3" x14ac:dyDescent="0.25">
      <c r="B4" t="s">
        <v>459</v>
      </c>
      <c r="C4" t="s">
        <v>531</v>
      </c>
    </row>
    <row r="5" spans="2:3" x14ac:dyDescent="0.25">
      <c r="B5" t="s">
        <v>44</v>
      </c>
      <c r="C5" t="s">
        <v>532</v>
      </c>
    </row>
    <row r="6" spans="2:3" x14ac:dyDescent="0.25">
      <c r="B6" t="s">
        <v>458</v>
      </c>
      <c r="C6" t="s">
        <v>533</v>
      </c>
    </row>
    <row r="7" spans="2:3" x14ac:dyDescent="0.25">
      <c r="B7" t="s">
        <v>50</v>
      </c>
      <c r="C7" t="s">
        <v>534</v>
      </c>
    </row>
    <row r="8" spans="2:3" x14ac:dyDescent="0.25">
      <c r="B8" t="s">
        <v>457</v>
      </c>
      <c r="C8" t="s">
        <v>535</v>
      </c>
    </row>
    <row r="9" spans="2:3" x14ac:dyDescent="0.25">
      <c r="B9" t="s">
        <v>462</v>
      </c>
      <c r="C9" t="s">
        <v>536</v>
      </c>
    </row>
    <row r="10" spans="2:3" x14ac:dyDescent="0.25">
      <c r="B10" t="s">
        <v>463</v>
      </c>
      <c r="C10" t="s">
        <v>537</v>
      </c>
    </row>
    <row r="11" spans="2:3" x14ac:dyDescent="0.25">
      <c r="B11" t="s">
        <v>61</v>
      </c>
      <c r="C11" t="s">
        <v>538</v>
      </c>
    </row>
    <row r="12" spans="2:3" x14ac:dyDescent="0.25">
      <c r="B12" t="s">
        <v>68</v>
      </c>
      <c r="C12" t="s">
        <v>539</v>
      </c>
    </row>
    <row r="13" spans="2:3" x14ac:dyDescent="0.25">
      <c r="B13" t="s">
        <v>73</v>
      </c>
      <c r="C13" t="s">
        <v>540</v>
      </c>
    </row>
    <row r="14" spans="2:3" x14ac:dyDescent="0.25">
      <c r="B14" t="s">
        <v>76</v>
      </c>
      <c r="C14" t="s">
        <v>541</v>
      </c>
    </row>
    <row r="15" spans="2:3" x14ac:dyDescent="0.25">
      <c r="B15" t="s">
        <v>82</v>
      </c>
      <c r="C15" t="s">
        <v>542</v>
      </c>
    </row>
    <row r="16" spans="2:3" x14ac:dyDescent="0.25">
      <c r="B16" t="s">
        <v>89</v>
      </c>
      <c r="C16" t="s">
        <v>543</v>
      </c>
    </row>
    <row r="17" spans="2:3" x14ac:dyDescent="0.25">
      <c r="B17" t="s">
        <v>92</v>
      </c>
      <c r="C17" t="s">
        <v>544</v>
      </c>
    </row>
    <row r="18" spans="2:3" x14ac:dyDescent="0.25">
      <c r="B18" t="s">
        <v>96</v>
      </c>
      <c r="C18" t="s">
        <v>545</v>
      </c>
    </row>
    <row r="19" spans="2:3" x14ac:dyDescent="0.25">
      <c r="B19" t="s">
        <v>101</v>
      </c>
      <c r="C19" t="s">
        <v>546</v>
      </c>
    </row>
    <row r="20" spans="2:3" x14ac:dyDescent="0.25">
      <c r="B20" t="s">
        <v>110</v>
      </c>
      <c r="C20" t="s">
        <v>547</v>
      </c>
    </row>
    <row r="21" spans="2:3" x14ac:dyDescent="0.25">
      <c r="B21" t="s">
        <v>461</v>
      </c>
      <c r="C21" t="s">
        <v>548</v>
      </c>
    </row>
    <row r="22" spans="2:3" x14ac:dyDescent="0.25">
      <c r="B22" t="s">
        <v>120</v>
      </c>
      <c r="C22" t="s">
        <v>549</v>
      </c>
    </row>
    <row r="23" spans="2:3" x14ac:dyDescent="0.25">
      <c r="B23" t="s">
        <v>123</v>
      </c>
      <c r="C23" t="s">
        <v>550</v>
      </c>
    </row>
    <row r="24" spans="2:3" x14ac:dyDescent="0.25">
      <c r="B24" t="s">
        <v>128</v>
      </c>
      <c r="C24" t="s">
        <v>551</v>
      </c>
    </row>
    <row r="25" spans="2:3" x14ac:dyDescent="0.25">
      <c r="B25" t="s">
        <v>28</v>
      </c>
      <c r="C25" t="s">
        <v>552</v>
      </c>
    </row>
    <row r="26" spans="2:3" x14ac:dyDescent="0.25">
      <c r="B26" t="s">
        <v>47</v>
      </c>
      <c r="C26" t="s">
        <v>553</v>
      </c>
    </row>
    <row r="27" spans="2:3" x14ac:dyDescent="0.25">
      <c r="B27" t="s">
        <v>53</v>
      </c>
      <c r="C27" t="s">
        <v>554</v>
      </c>
    </row>
    <row r="28" spans="2:3" x14ac:dyDescent="0.25">
      <c r="B28" t="s">
        <v>56</v>
      </c>
      <c r="C28" t="s">
        <v>555</v>
      </c>
    </row>
    <row r="29" spans="2:3" x14ac:dyDescent="0.25">
      <c r="B29" t="s">
        <v>64</v>
      </c>
      <c r="C29" t="s">
        <v>556</v>
      </c>
    </row>
    <row r="30" spans="2:3" x14ac:dyDescent="0.25">
      <c r="B30" t="s">
        <v>70</v>
      </c>
      <c r="C30" t="s">
        <v>557</v>
      </c>
    </row>
    <row r="31" spans="2:3" x14ac:dyDescent="0.25">
      <c r="B31" t="s">
        <v>79</v>
      </c>
      <c r="C31" t="s">
        <v>558</v>
      </c>
    </row>
    <row r="32" spans="2:3" x14ac:dyDescent="0.25">
      <c r="B32" t="s">
        <v>85</v>
      </c>
      <c r="C32" t="s">
        <v>559</v>
      </c>
    </row>
    <row r="33" spans="2:3" x14ac:dyDescent="0.25">
      <c r="B33" t="s">
        <v>87</v>
      </c>
      <c r="C33" t="s">
        <v>560</v>
      </c>
    </row>
    <row r="34" spans="2:3" x14ac:dyDescent="0.25">
      <c r="B34" t="s">
        <v>98</v>
      </c>
      <c r="C34" t="s">
        <v>561</v>
      </c>
    </row>
    <row r="35" spans="2:3" x14ac:dyDescent="0.25">
      <c r="B35" t="s">
        <v>107</v>
      </c>
      <c r="C35" t="s">
        <v>562</v>
      </c>
    </row>
    <row r="36" spans="2:3" x14ac:dyDescent="0.25">
      <c r="B36" t="s">
        <v>113</v>
      </c>
      <c r="C36" t="s">
        <v>563</v>
      </c>
    </row>
    <row r="37" spans="2:3" x14ac:dyDescent="0.25">
      <c r="B37" t="s">
        <v>118</v>
      </c>
      <c r="C37" t="s">
        <v>564</v>
      </c>
    </row>
    <row r="38" spans="2:3" x14ac:dyDescent="0.25">
      <c r="B38" t="s">
        <v>132</v>
      </c>
      <c r="C38" t="s">
        <v>565</v>
      </c>
    </row>
    <row r="39" spans="2:3" x14ac:dyDescent="0.25">
      <c r="B39" t="s">
        <v>36</v>
      </c>
      <c r="C39" t="s">
        <v>566</v>
      </c>
    </row>
    <row r="40" spans="2:3" x14ac:dyDescent="0.25">
      <c r="B40" t="s">
        <v>245</v>
      </c>
      <c r="C40" t="s">
        <v>567</v>
      </c>
    </row>
    <row r="41" spans="2:3" x14ac:dyDescent="0.25">
      <c r="B41" t="s">
        <v>170</v>
      </c>
      <c r="C41" t="s">
        <v>568</v>
      </c>
    </row>
    <row r="42" spans="2:3" x14ac:dyDescent="0.25">
      <c r="B42" t="s">
        <v>181</v>
      </c>
      <c r="C42" t="s">
        <v>569</v>
      </c>
    </row>
    <row r="43" spans="2:3" x14ac:dyDescent="0.25">
      <c r="B43" t="s">
        <v>472</v>
      </c>
      <c r="C43" t="s">
        <v>570</v>
      </c>
    </row>
    <row r="44" spans="2:3" x14ac:dyDescent="0.25">
      <c r="B44" t="s">
        <v>159</v>
      </c>
      <c r="C44" t="s">
        <v>571</v>
      </c>
    </row>
    <row r="45" spans="2:3" x14ac:dyDescent="0.25">
      <c r="B45" t="s">
        <v>654</v>
      </c>
      <c r="C45" t="s">
        <v>572</v>
      </c>
    </row>
    <row r="46" spans="2:3" x14ac:dyDescent="0.25">
      <c r="B46" t="s">
        <v>214</v>
      </c>
      <c r="C46" t="s">
        <v>573</v>
      </c>
    </row>
    <row r="47" spans="2:3" x14ac:dyDescent="0.25">
      <c r="B47" t="s">
        <v>210</v>
      </c>
      <c r="C47" t="s">
        <v>574</v>
      </c>
    </row>
    <row r="48" spans="2:3" x14ac:dyDescent="0.25">
      <c r="B48" t="s">
        <v>475</v>
      </c>
      <c r="C48" t="s">
        <v>575</v>
      </c>
    </row>
    <row r="49" spans="2:3" x14ac:dyDescent="0.25">
      <c r="B49" t="s">
        <v>466</v>
      </c>
      <c r="C49" t="s">
        <v>576</v>
      </c>
    </row>
    <row r="50" spans="2:3" x14ac:dyDescent="0.25">
      <c r="B50" t="s">
        <v>467</v>
      </c>
      <c r="C50" t="s">
        <v>577</v>
      </c>
    </row>
    <row r="51" spans="2:3" x14ac:dyDescent="0.25">
      <c r="B51" t="s">
        <v>469</v>
      </c>
      <c r="C51" t="s">
        <v>578</v>
      </c>
    </row>
    <row r="52" spans="2:3" x14ac:dyDescent="0.25">
      <c r="B52" t="s">
        <v>207</v>
      </c>
      <c r="C52" t="s">
        <v>579</v>
      </c>
    </row>
    <row r="53" spans="2:3" x14ac:dyDescent="0.25">
      <c r="B53" t="s">
        <v>139</v>
      </c>
      <c r="C53" t="s">
        <v>580</v>
      </c>
    </row>
    <row r="54" spans="2:3" x14ac:dyDescent="0.25">
      <c r="B54" t="s">
        <v>655</v>
      </c>
      <c r="C54" t="s">
        <v>581</v>
      </c>
    </row>
    <row r="55" spans="2:3" x14ac:dyDescent="0.25">
      <c r="B55" t="s">
        <v>146</v>
      </c>
      <c r="C55" t="s">
        <v>582</v>
      </c>
    </row>
    <row r="56" spans="2:3" x14ac:dyDescent="0.25">
      <c r="B56" t="s">
        <v>165</v>
      </c>
      <c r="C56" t="s">
        <v>583</v>
      </c>
    </row>
    <row r="57" spans="2:3" x14ac:dyDescent="0.25">
      <c r="B57" t="s">
        <v>173</v>
      </c>
      <c r="C57" t="s">
        <v>584</v>
      </c>
    </row>
    <row r="58" spans="2:3" x14ac:dyDescent="0.25">
      <c r="B58" t="s">
        <v>471</v>
      </c>
      <c r="C58" t="s">
        <v>585</v>
      </c>
    </row>
    <row r="59" spans="2:3" x14ac:dyDescent="0.25">
      <c r="B59" t="s">
        <v>464</v>
      </c>
      <c r="C59" t="s">
        <v>586</v>
      </c>
    </row>
    <row r="60" spans="2:3" x14ac:dyDescent="0.25">
      <c r="B60" t="s">
        <v>224</v>
      </c>
      <c r="C60" t="s">
        <v>587</v>
      </c>
    </row>
    <row r="61" spans="2:3" x14ac:dyDescent="0.25">
      <c r="B61" t="s">
        <v>149</v>
      </c>
      <c r="C61" t="s">
        <v>588</v>
      </c>
    </row>
    <row r="62" spans="2:3" x14ac:dyDescent="0.25">
      <c r="B62" t="s">
        <v>152</v>
      </c>
      <c r="C62" t="s">
        <v>589</v>
      </c>
    </row>
    <row r="63" spans="2:3" x14ac:dyDescent="0.25">
      <c r="B63" t="s">
        <v>253</v>
      </c>
      <c r="C63" t="s">
        <v>590</v>
      </c>
    </row>
    <row r="64" spans="2:3" x14ac:dyDescent="0.25">
      <c r="B64" t="s">
        <v>656</v>
      </c>
      <c r="C64" t="s">
        <v>591</v>
      </c>
    </row>
    <row r="65" spans="2:3" x14ac:dyDescent="0.25">
      <c r="B65" t="s">
        <v>178</v>
      </c>
      <c r="C65" t="s">
        <v>592</v>
      </c>
    </row>
    <row r="66" spans="2:3" x14ac:dyDescent="0.25">
      <c r="B66" t="s">
        <v>227</v>
      </c>
      <c r="C66" t="s">
        <v>593</v>
      </c>
    </row>
    <row r="67" spans="2:3" x14ac:dyDescent="0.25">
      <c r="B67" t="s">
        <v>237</v>
      </c>
      <c r="C67" t="s">
        <v>594</v>
      </c>
    </row>
    <row r="68" spans="2:3" x14ac:dyDescent="0.25">
      <c r="B68" t="s">
        <v>657</v>
      </c>
      <c r="C68" t="s">
        <v>595</v>
      </c>
    </row>
    <row r="69" spans="2:3" x14ac:dyDescent="0.25">
      <c r="B69" t="s">
        <v>486</v>
      </c>
      <c r="C69" t="s">
        <v>596</v>
      </c>
    </row>
    <row r="70" spans="2:3" x14ac:dyDescent="0.25">
      <c r="B70" t="s">
        <v>658</v>
      </c>
      <c r="C70" t="s">
        <v>597</v>
      </c>
    </row>
    <row r="71" spans="2:3" x14ac:dyDescent="0.25">
      <c r="B71" t="s">
        <v>361</v>
      </c>
      <c r="C71" t="s">
        <v>598</v>
      </c>
    </row>
    <row r="72" spans="2:3" x14ac:dyDescent="0.25">
      <c r="B72" t="s">
        <v>241</v>
      </c>
      <c r="C72" t="s">
        <v>599</v>
      </c>
    </row>
    <row r="73" spans="2:3" x14ac:dyDescent="0.25">
      <c r="B73" t="s">
        <v>188</v>
      </c>
      <c r="C73" t="s">
        <v>600</v>
      </c>
    </row>
    <row r="74" spans="2:3" x14ac:dyDescent="0.25">
      <c r="B74" t="s">
        <v>194</v>
      </c>
      <c r="C74" t="s">
        <v>601</v>
      </c>
    </row>
    <row r="75" spans="2:3" x14ac:dyDescent="0.25">
      <c r="B75" t="s">
        <v>465</v>
      </c>
      <c r="C75" t="s">
        <v>602</v>
      </c>
    </row>
    <row r="76" spans="2:3" x14ac:dyDescent="0.25">
      <c r="B76" t="s">
        <v>473</v>
      </c>
      <c r="C76" t="s">
        <v>603</v>
      </c>
    </row>
    <row r="77" spans="2:3" x14ac:dyDescent="0.25">
      <c r="B77" t="s">
        <v>198</v>
      </c>
      <c r="C77" t="s">
        <v>604</v>
      </c>
    </row>
    <row r="78" spans="2:3" x14ac:dyDescent="0.25">
      <c r="B78" t="s">
        <v>341</v>
      </c>
      <c r="C78" t="s">
        <v>605</v>
      </c>
    </row>
    <row r="79" spans="2:3" x14ac:dyDescent="0.25">
      <c r="B79" t="s">
        <v>218</v>
      </c>
      <c r="C79" t="s">
        <v>606</v>
      </c>
    </row>
    <row r="80" spans="2:3" x14ac:dyDescent="0.25">
      <c r="B80" t="s">
        <v>221</v>
      </c>
      <c r="C80" t="s">
        <v>607</v>
      </c>
    </row>
    <row r="81" spans="2:3" x14ac:dyDescent="0.25">
      <c r="B81" t="s">
        <v>470</v>
      </c>
      <c r="C81" t="s">
        <v>608</v>
      </c>
    </row>
    <row r="82" spans="2:3" x14ac:dyDescent="0.25">
      <c r="B82" t="s">
        <v>416</v>
      </c>
      <c r="C82" t="s">
        <v>609</v>
      </c>
    </row>
    <row r="83" spans="2:3" x14ac:dyDescent="0.25">
      <c r="B83" t="s">
        <v>410</v>
      </c>
      <c r="C83" t="s">
        <v>610</v>
      </c>
    </row>
    <row r="84" spans="2:3" x14ac:dyDescent="0.25">
      <c r="B84" t="s">
        <v>390</v>
      </c>
      <c r="C84" t="s">
        <v>611</v>
      </c>
    </row>
    <row r="85" spans="2:3" x14ac:dyDescent="0.25">
      <c r="B85" t="s">
        <v>259</v>
      </c>
      <c r="C85" t="s">
        <v>612</v>
      </c>
    </row>
    <row r="86" spans="2:3" x14ac:dyDescent="0.25">
      <c r="B86" t="s">
        <v>412</v>
      </c>
      <c r="C86" t="s">
        <v>613</v>
      </c>
    </row>
    <row r="87" spans="2:3" x14ac:dyDescent="0.25">
      <c r="B87" t="s">
        <v>474</v>
      </c>
      <c r="C87" t="s">
        <v>614</v>
      </c>
    </row>
    <row r="88" spans="2:3" x14ac:dyDescent="0.25">
      <c r="B88" t="s">
        <v>262</v>
      </c>
      <c r="C88" t="s">
        <v>615</v>
      </c>
    </row>
    <row r="89" spans="2:3" x14ac:dyDescent="0.25">
      <c r="B89" t="s">
        <v>265</v>
      </c>
      <c r="C89" t="s">
        <v>616</v>
      </c>
    </row>
    <row r="90" spans="2:3" x14ac:dyDescent="0.25">
      <c r="B90" t="s">
        <v>268</v>
      </c>
      <c r="C90" t="s">
        <v>617</v>
      </c>
    </row>
    <row r="91" spans="2:3" x14ac:dyDescent="0.25">
      <c r="B91" t="s">
        <v>271</v>
      </c>
      <c r="C91" t="s">
        <v>618</v>
      </c>
    </row>
    <row r="92" spans="2:3" x14ac:dyDescent="0.25">
      <c r="B92" t="s">
        <v>274</v>
      </c>
      <c r="C92" t="s">
        <v>619</v>
      </c>
    </row>
    <row r="93" spans="2:3" x14ac:dyDescent="0.25">
      <c r="B93" t="s">
        <v>279</v>
      </c>
      <c r="C93" t="s">
        <v>620</v>
      </c>
    </row>
    <row r="94" spans="2:3" x14ac:dyDescent="0.25">
      <c r="B94" t="s">
        <v>283</v>
      </c>
      <c r="C94" t="s">
        <v>621</v>
      </c>
    </row>
    <row r="95" spans="2:3" x14ac:dyDescent="0.25">
      <c r="B95" t="s">
        <v>287</v>
      </c>
      <c r="C95" t="s">
        <v>622</v>
      </c>
    </row>
    <row r="96" spans="2:3" x14ac:dyDescent="0.25">
      <c r="B96" t="s">
        <v>289</v>
      </c>
      <c r="C96" t="s">
        <v>623</v>
      </c>
    </row>
    <row r="97" spans="2:3" x14ac:dyDescent="0.25">
      <c r="B97" t="s">
        <v>292</v>
      </c>
      <c r="C97" t="s">
        <v>624</v>
      </c>
    </row>
    <row r="98" spans="2:3" x14ac:dyDescent="0.25">
      <c r="B98" t="s">
        <v>295</v>
      </c>
      <c r="C98" t="s">
        <v>625</v>
      </c>
    </row>
    <row r="99" spans="2:3" x14ac:dyDescent="0.25">
      <c r="B99" t="s">
        <v>297</v>
      </c>
      <c r="C99" t="s">
        <v>626</v>
      </c>
    </row>
    <row r="100" spans="2:3" x14ac:dyDescent="0.25">
      <c r="B100" t="s">
        <v>299</v>
      </c>
      <c r="C100" t="s">
        <v>627</v>
      </c>
    </row>
    <row r="101" spans="2:3" x14ac:dyDescent="0.25">
      <c r="B101" t="s">
        <v>302</v>
      </c>
      <c r="C101" t="s">
        <v>628</v>
      </c>
    </row>
    <row r="102" spans="2:3" x14ac:dyDescent="0.25">
      <c r="B102" t="s">
        <v>304</v>
      </c>
      <c r="C102" t="s">
        <v>629</v>
      </c>
    </row>
    <row r="103" spans="2:3" x14ac:dyDescent="0.25">
      <c r="B103" t="s">
        <v>306</v>
      </c>
      <c r="C103" t="s">
        <v>630</v>
      </c>
    </row>
    <row r="104" spans="2:3" x14ac:dyDescent="0.25">
      <c r="B104" t="s">
        <v>477</v>
      </c>
      <c r="C104" t="s">
        <v>631</v>
      </c>
    </row>
    <row r="105" spans="2:3" x14ac:dyDescent="0.25">
      <c r="B105" t="s">
        <v>312</v>
      </c>
      <c r="C105" t="s">
        <v>632</v>
      </c>
    </row>
    <row r="106" spans="2:3" x14ac:dyDescent="0.25">
      <c r="B106" t="s">
        <v>315</v>
      </c>
      <c r="C106" t="s">
        <v>633</v>
      </c>
    </row>
    <row r="107" spans="2:3" x14ac:dyDescent="0.25">
      <c r="B107" t="s">
        <v>317</v>
      </c>
      <c r="C107" t="s">
        <v>634</v>
      </c>
    </row>
    <row r="108" spans="2:3" x14ac:dyDescent="0.25">
      <c r="B108" t="s">
        <v>319</v>
      </c>
      <c r="C108" t="s">
        <v>635</v>
      </c>
    </row>
    <row r="109" spans="2:3" x14ac:dyDescent="0.25">
      <c r="B109" t="s">
        <v>322</v>
      </c>
      <c r="C109" t="s">
        <v>636</v>
      </c>
    </row>
    <row r="110" spans="2:3" x14ac:dyDescent="0.25">
      <c r="B110" t="s">
        <v>324</v>
      </c>
      <c r="C110" t="s">
        <v>637</v>
      </c>
    </row>
    <row r="111" spans="2:3" x14ac:dyDescent="0.25">
      <c r="B111" t="s">
        <v>326</v>
      </c>
      <c r="C111" t="s">
        <v>638</v>
      </c>
    </row>
    <row r="112" spans="2:3" x14ac:dyDescent="0.25">
      <c r="B112" t="s">
        <v>329</v>
      </c>
      <c r="C112" t="s">
        <v>639</v>
      </c>
    </row>
    <row r="113" spans="2:3" x14ac:dyDescent="0.25">
      <c r="B113" t="s">
        <v>332</v>
      </c>
      <c r="C113" t="s">
        <v>640</v>
      </c>
    </row>
    <row r="114" spans="2:3" x14ac:dyDescent="0.25">
      <c r="B114" t="s">
        <v>335</v>
      </c>
      <c r="C114" t="s">
        <v>641</v>
      </c>
    </row>
    <row r="115" spans="2:3" x14ac:dyDescent="0.25">
      <c r="B115" t="s">
        <v>337</v>
      </c>
      <c r="C115" t="s">
        <v>642</v>
      </c>
    </row>
    <row r="116" spans="2:3" x14ac:dyDescent="0.25">
      <c r="B116" t="s">
        <v>478</v>
      </c>
      <c r="C116" t="s">
        <v>643</v>
      </c>
    </row>
    <row r="117" spans="2:3" x14ac:dyDescent="0.25">
      <c r="B117" t="s">
        <v>479</v>
      </c>
      <c r="C117" t="s">
        <v>644</v>
      </c>
    </row>
    <row r="118" spans="2:3" x14ac:dyDescent="0.25">
      <c r="B118" t="s">
        <v>480</v>
      </c>
      <c r="C118" t="s">
        <v>645</v>
      </c>
    </row>
    <row r="119" spans="2:3" x14ac:dyDescent="0.25">
      <c r="B119" t="s">
        <v>481</v>
      </c>
      <c r="C119" t="s">
        <v>646</v>
      </c>
    </row>
    <row r="120" spans="2:3" x14ac:dyDescent="0.25">
      <c r="B120" t="s">
        <v>482</v>
      </c>
      <c r="C120" t="s">
        <v>647</v>
      </c>
    </row>
    <row r="121" spans="2:3" x14ac:dyDescent="0.25">
      <c r="B121" t="s">
        <v>476</v>
      </c>
      <c r="C121" t="s">
        <v>648</v>
      </c>
    </row>
    <row r="122" spans="2:3" x14ac:dyDescent="0.25">
      <c r="B122" t="s">
        <v>386</v>
      </c>
      <c r="C122" t="s">
        <v>649</v>
      </c>
    </row>
    <row r="123" spans="2:3" x14ac:dyDescent="0.25">
      <c r="B123" t="s">
        <v>384</v>
      </c>
      <c r="C123" t="s">
        <v>650</v>
      </c>
    </row>
    <row r="124" spans="2:3" x14ac:dyDescent="0.25">
      <c r="B124" t="s">
        <v>385</v>
      </c>
      <c r="C124" t="s">
        <v>651</v>
      </c>
    </row>
    <row r="125" spans="2:3" x14ac:dyDescent="0.25">
      <c r="B125" t="s">
        <v>483</v>
      </c>
      <c r="C125" t="s">
        <v>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0A48-9809-4C64-826F-E66A1BE2830E}">
  <dimension ref="A1:G41"/>
  <sheetViews>
    <sheetView topLeftCell="A22" workbookViewId="0">
      <selection activeCell="B9" sqref="B9"/>
    </sheetView>
  </sheetViews>
  <sheetFormatPr defaultRowHeight="15" x14ac:dyDescent="0.25"/>
  <cols>
    <col min="1" max="1" width="10" style="43" customWidth="1"/>
    <col min="2" max="2" width="10.42578125" customWidth="1"/>
    <col min="3" max="3" width="9.7109375" bestFit="1" customWidth="1"/>
    <col min="4" max="4" width="23.28515625" style="17" customWidth="1"/>
    <col min="5" max="5" width="9.42578125" customWidth="1"/>
    <col min="6" max="6" width="10.42578125" style="10" customWidth="1"/>
    <col min="7" max="7" width="11.42578125" customWidth="1"/>
    <col min="8" max="8" width="5.140625" customWidth="1"/>
  </cols>
  <sheetData>
    <row r="1" spans="1:7" ht="36.75" thickBot="1" x14ac:dyDescent="0.3">
      <c r="A1" s="38" t="s">
        <v>0</v>
      </c>
      <c r="B1" s="30" t="s">
        <v>512</v>
      </c>
      <c r="C1" s="31" t="s">
        <v>1</v>
      </c>
      <c r="D1" s="32" t="s">
        <v>2</v>
      </c>
      <c r="E1" s="33" t="s">
        <v>18</v>
      </c>
      <c r="F1" s="36" t="s">
        <v>19</v>
      </c>
      <c r="G1" s="37" t="s">
        <v>20</v>
      </c>
    </row>
    <row r="2" spans="1:7" x14ac:dyDescent="0.25">
      <c r="A2" s="39" t="s">
        <v>27</v>
      </c>
      <c r="B2" s="25" t="s">
        <v>510</v>
      </c>
      <c r="C2" s="26" t="s">
        <v>89</v>
      </c>
      <c r="D2" s="27" t="s">
        <v>90</v>
      </c>
      <c r="E2" s="28"/>
      <c r="F2" s="34" t="s">
        <v>34</v>
      </c>
      <c r="G2" s="29" t="s">
        <v>34</v>
      </c>
    </row>
    <row r="3" spans="1:7" x14ac:dyDescent="0.25">
      <c r="A3" s="40" t="s">
        <v>27</v>
      </c>
      <c r="B3" s="18" t="s">
        <v>510</v>
      </c>
      <c r="C3" s="9" t="s">
        <v>101</v>
      </c>
      <c r="D3" s="16" t="s">
        <v>102</v>
      </c>
      <c r="E3" s="11"/>
      <c r="F3" s="12" t="s">
        <v>34</v>
      </c>
      <c r="G3" s="19" t="s">
        <v>34</v>
      </c>
    </row>
    <row r="4" spans="1:7" x14ac:dyDescent="0.25">
      <c r="A4" s="40" t="s">
        <v>27</v>
      </c>
      <c r="B4" s="18" t="s">
        <v>510</v>
      </c>
      <c r="C4" s="9" t="s">
        <v>104</v>
      </c>
      <c r="D4" s="16" t="s">
        <v>105</v>
      </c>
      <c r="E4" s="11"/>
      <c r="F4" s="12" t="s">
        <v>34</v>
      </c>
      <c r="G4" s="19" t="s">
        <v>34</v>
      </c>
    </row>
    <row r="5" spans="1:7" x14ac:dyDescent="0.25">
      <c r="A5" s="40" t="s">
        <v>27</v>
      </c>
      <c r="B5" s="18" t="s">
        <v>510</v>
      </c>
      <c r="C5" s="9" t="s">
        <v>107</v>
      </c>
      <c r="D5" s="16" t="s">
        <v>108</v>
      </c>
      <c r="E5" s="11"/>
      <c r="F5" s="12" t="s">
        <v>34</v>
      </c>
      <c r="G5" s="19" t="s">
        <v>34</v>
      </c>
    </row>
    <row r="6" spans="1:7" x14ac:dyDescent="0.25">
      <c r="A6" s="40" t="s">
        <v>27</v>
      </c>
      <c r="B6" s="18" t="s">
        <v>510</v>
      </c>
      <c r="C6" s="9" t="s">
        <v>128</v>
      </c>
      <c r="D6" s="16" t="s">
        <v>129</v>
      </c>
      <c r="E6" s="11"/>
      <c r="F6" s="12">
        <v>4827.8999999999996</v>
      </c>
      <c r="G6" s="20">
        <v>46049</v>
      </c>
    </row>
    <row r="7" spans="1:7" x14ac:dyDescent="0.25">
      <c r="A7" s="40" t="s">
        <v>27</v>
      </c>
      <c r="B7" s="18" t="s">
        <v>511</v>
      </c>
      <c r="C7" s="9" t="s">
        <v>457</v>
      </c>
      <c r="D7" s="16" t="s">
        <v>378</v>
      </c>
      <c r="E7" s="11"/>
      <c r="F7" s="12">
        <v>0</v>
      </c>
      <c r="G7" s="20">
        <v>46049</v>
      </c>
    </row>
    <row r="8" spans="1:7" x14ac:dyDescent="0.25">
      <c r="A8" s="40" t="s">
        <v>27</v>
      </c>
      <c r="B8" s="18" t="s">
        <v>511</v>
      </c>
      <c r="C8" s="9" t="s">
        <v>70</v>
      </c>
      <c r="D8" s="16" t="s">
        <v>71</v>
      </c>
      <c r="E8" s="11"/>
      <c r="F8" s="12" t="s">
        <v>34</v>
      </c>
      <c r="G8" s="19" t="s">
        <v>34</v>
      </c>
    </row>
    <row r="9" spans="1:7" x14ac:dyDescent="0.25">
      <c r="A9" s="40" t="s">
        <v>27</v>
      </c>
      <c r="B9" s="18" t="s">
        <v>511</v>
      </c>
      <c r="C9" s="9" t="s">
        <v>73</v>
      </c>
      <c r="D9" s="16" t="s">
        <v>74</v>
      </c>
      <c r="E9" s="11"/>
      <c r="F9" s="12" t="s">
        <v>34</v>
      </c>
      <c r="G9" s="19" t="s">
        <v>34</v>
      </c>
    </row>
    <row r="10" spans="1:7" x14ac:dyDescent="0.25">
      <c r="A10" s="40" t="s">
        <v>27</v>
      </c>
      <c r="B10" s="18" t="s">
        <v>511</v>
      </c>
      <c r="C10" s="9" t="s">
        <v>113</v>
      </c>
      <c r="D10" s="16" t="s">
        <v>114</v>
      </c>
      <c r="E10" s="11"/>
      <c r="F10" s="12">
        <v>4103</v>
      </c>
      <c r="G10" s="20">
        <v>46049</v>
      </c>
    </row>
    <row r="11" spans="1:7" x14ac:dyDescent="0.25">
      <c r="A11" s="40" t="s">
        <v>27</v>
      </c>
      <c r="B11" s="18" t="s">
        <v>511</v>
      </c>
      <c r="C11" s="9" t="s">
        <v>132</v>
      </c>
      <c r="D11" s="16" t="s">
        <v>133</v>
      </c>
      <c r="E11" s="11"/>
      <c r="F11" s="12">
        <v>4103</v>
      </c>
      <c r="G11" s="20">
        <v>46049</v>
      </c>
    </row>
    <row r="12" spans="1:7" x14ac:dyDescent="0.25">
      <c r="A12" s="40" t="s">
        <v>27</v>
      </c>
      <c r="B12" s="18" t="s">
        <v>506</v>
      </c>
      <c r="C12" s="9" t="s">
        <v>460</v>
      </c>
      <c r="D12" s="16" t="s">
        <v>199</v>
      </c>
      <c r="E12" s="11"/>
      <c r="F12" s="12">
        <v>2464</v>
      </c>
      <c r="G12" s="20">
        <v>46049</v>
      </c>
    </row>
    <row r="13" spans="1:7" x14ac:dyDescent="0.25">
      <c r="A13" s="40" t="s">
        <v>27</v>
      </c>
      <c r="B13" s="18" t="s">
        <v>506</v>
      </c>
      <c r="C13" s="9" t="s">
        <v>459</v>
      </c>
      <c r="D13" s="16" t="s">
        <v>199</v>
      </c>
      <c r="E13" s="11"/>
      <c r="F13" s="12">
        <v>2464</v>
      </c>
      <c r="G13" s="20">
        <v>46049</v>
      </c>
    </row>
    <row r="14" spans="1:7" x14ac:dyDescent="0.25">
      <c r="A14" s="40" t="s">
        <v>27</v>
      </c>
      <c r="B14" s="18" t="s">
        <v>506</v>
      </c>
      <c r="C14" s="9" t="s">
        <v>458</v>
      </c>
      <c r="D14" s="16" t="s">
        <v>363</v>
      </c>
      <c r="E14" s="11"/>
      <c r="F14" s="12">
        <v>2464</v>
      </c>
      <c r="G14" s="20">
        <v>46049</v>
      </c>
    </row>
    <row r="15" spans="1:7" x14ac:dyDescent="0.25">
      <c r="A15" s="40" t="s">
        <v>27</v>
      </c>
      <c r="B15" s="18" t="s">
        <v>506</v>
      </c>
      <c r="C15" s="9" t="s">
        <v>44</v>
      </c>
      <c r="D15" s="16" t="s">
        <v>45</v>
      </c>
      <c r="E15" s="11"/>
      <c r="F15" s="12">
        <v>2733.5</v>
      </c>
      <c r="G15" s="20">
        <v>46049</v>
      </c>
    </row>
    <row r="16" spans="1:7" x14ac:dyDescent="0.25">
      <c r="A16" s="40" t="s">
        <v>27</v>
      </c>
      <c r="B16" s="18" t="s">
        <v>506</v>
      </c>
      <c r="C16" s="9" t="s">
        <v>118</v>
      </c>
      <c r="D16" s="16" t="s">
        <v>108</v>
      </c>
      <c r="E16" s="11"/>
      <c r="F16" s="12">
        <v>2464</v>
      </c>
      <c r="G16" s="20">
        <v>46049</v>
      </c>
    </row>
    <row r="17" spans="1:7" x14ac:dyDescent="0.25">
      <c r="A17" s="40" t="s">
        <v>27</v>
      </c>
      <c r="B17" s="18" t="s">
        <v>506</v>
      </c>
      <c r="C17" s="9" t="s">
        <v>135</v>
      </c>
      <c r="D17" s="16" t="s">
        <v>136</v>
      </c>
      <c r="E17" s="11"/>
      <c r="F17" s="12">
        <v>3935.4</v>
      </c>
      <c r="G17" s="20">
        <v>46049</v>
      </c>
    </row>
    <row r="18" spans="1:7" x14ac:dyDescent="0.25">
      <c r="A18" s="40" t="s">
        <v>27</v>
      </c>
      <c r="B18" s="18" t="s">
        <v>507</v>
      </c>
      <c r="C18" s="9" t="s">
        <v>28</v>
      </c>
      <c r="D18" s="16" t="s">
        <v>29</v>
      </c>
      <c r="E18" s="11"/>
      <c r="F18" s="12" t="s">
        <v>34</v>
      </c>
      <c r="G18" s="19" t="s">
        <v>34</v>
      </c>
    </row>
    <row r="19" spans="1:7" x14ac:dyDescent="0.25">
      <c r="A19" s="40" t="s">
        <v>27</v>
      </c>
      <c r="B19" s="18" t="s">
        <v>507</v>
      </c>
      <c r="C19" s="9" t="s">
        <v>47</v>
      </c>
      <c r="D19" s="16" t="s">
        <v>48</v>
      </c>
      <c r="E19" s="11"/>
      <c r="F19" s="12" t="s">
        <v>34</v>
      </c>
      <c r="G19" s="19" t="s">
        <v>34</v>
      </c>
    </row>
    <row r="20" spans="1:7" x14ac:dyDescent="0.25">
      <c r="A20" s="40" t="s">
        <v>27</v>
      </c>
      <c r="B20" s="18" t="s">
        <v>507</v>
      </c>
      <c r="C20" s="9" t="s">
        <v>50</v>
      </c>
      <c r="D20" s="16" t="s">
        <v>51</v>
      </c>
      <c r="E20" s="11"/>
      <c r="F20" s="12" t="s">
        <v>34</v>
      </c>
      <c r="G20" s="19" t="s">
        <v>34</v>
      </c>
    </row>
    <row r="21" spans="1:7" x14ac:dyDescent="0.25">
      <c r="A21" s="40" t="s">
        <v>27</v>
      </c>
      <c r="B21" s="18" t="s">
        <v>507</v>
      </c>
      <c r="C21" s="9" t="s">
        <v>53</v>
      </c>
      <c r="D21" s="16" t="s">
        <v>54</v>
      </c>
      <c r="E21" s="11"/>
      <c r="F21" s="12" t="s">
        <v>34</v>
      </c>
      <c r="G21" s="19" t="s">
        <v>34</v>
      </c>
    </row>
    <row r="22" spans="1:7" x14ac:dyDescent="0.25">
      <c r="A22" s="40" t="s">
        <v>27</v>
      </c>
      <c r="B22" s="18" t="s">
        <v>507</v>
      </c>
      <c r="C22" s="9" t="s">
        <v>56</v>
      </c>
      <c r="D22" s="16" t="s">
        <v>57</v>
      </c>
      <c r="E22" s="11"/>
      <c r="F22" s="12" t="s">
        <v>34</v>
      </c>
      <c r="G22" s="19" t="s">
        <v>34</v>
      </c>
    </row>
    <row r="23" spans="1:7" x14ac:dyDescent="0.25">
      <c r="A23" s="40" t="s">
        <v>27</v>
      </c>
      <c r="B23" s="18" t="s">
        <v>507</v>
      </c>
      <c r="C23" s="9" t="s">
        <v>68</v>
      </c>
      <c r="D23" s="16" t="s">
        <v>51</v>
      </c>
      <c r="E23" s="11"/>
      <c r="F23" s="12" t="s">
        <v>34</v>
      </c>
      <c r="G23" s="19" t="s">
        <v>34</v>
      </c>
    </row>
    <row r="24" spans="1:7" x14ac:dyDescent="0.25">
      <c r="A24" s="40" t="s">
        <v>27</v>
      </c>
      <c r="B24" s="18" t="s">
        <v>507</v>
      </c>
      <c r="C24" s="9" t="s">
        <v>82</v>
      </c>
      <c r="D24" s="16" t="s">
        <v>83</v>
      </c>
      <c r="E24" s="11"/>
      <c r="F24" s="12" t="s">
        <v>34</v>
      </c>
      <c r="G24" s="19" t="s">
        <v>34</v>
      </c>
    </row>
    <row r="25" spans="1:7" x14ac:dyDescent="0.25">
      <c r="A25" s="40" t="s">
        <v>27</v>
      </c>
      <c r="B25" s="18" t="s">
        <v>507</v>
      </c>
      <c r="C25" s="9" t="s">
        <v>92</v>
      </c>
      <c r="D25" s="16" t="s">
        <v>93</v>
      </c>
      <c r="E25" s="11"/>
      <c r="F25" s="12" t="s">
        <v>34</v>
      </c>
      <c r="G25" s="19" t="s">
        <v>34</v>
      </c>
    </row>
    <row r="26" spans="1:7" x14ac:dyDescent="0.25">
      <c r="A26" s="40" t="s">
        <v>27</v>
      </c>
      <c r="B26" s="18" t="s">
        <v>507</v>
      </c>
      <c r="C26" s="9" t="s">
        <v>96</v>
      </c>
      <c r="D26" s="16" t="s">
        <v>99</v>
      </c>
      <c r="E26" s="11"/>
      <c r="F26" s="12" t="s">
        <v>34</v>
      </c>
      <c r="G26" s="19" t="s">
        <v>34</v>
      </c>
    </row>
    <row r="27" spans="1:7" x14ac:dyDescent="0.25">
      <c r="A27" s="40" t="s">
        <v>27</v>
      </c>
      <c r="B27" s="18" t="s">
        <v>507</v>
      </c>
      <c r="C27" s="9" t="s">
        <v>98</v>
      </c>
      <c r="D27" s="16" t="s">
        <v>415</v>
      </c>
      <c r="E27" s="11"/>
      <c r="F27" s="12" t="s">
        <v>34</v>
      </c>
      <c r="G27" s="19" t="s">
        <v>34</v>
      </c>
    </row>
    <row r="28" spans="1:7" x14ac:dyDescent="0.25">
      <c r="A28" s="40" t="s">
        <v>27</v>
      </c>
      <c r="B28" s="18" t="s">
        <v>507</v>
      </c>
      <c r="C28" s="9" t="s">
        <v>110</v>
      </c>
      <c r="D28" s="16" t="s">
        <v>111</v>
      </c>
      <c r="E28" s="11"/>
      <c r="F28" s="12" t="s">
        <v>34</v>
      </c>
      <c r="G28" s="19" t="s">
        <v>34</v>
      </c>
    </row>
    <row r="29" spans="1:7" x14ac:dyDescent="0.25">
      <c r="A29" s="40" t="s">
        <v>27</v>
      </c>
      <c r="B29" s="18" t="s">
        <v>507</v>
      </c>
      <c r="C29" s="9" t="s">
        <v>461</v>
      </c>
      <c r="D29" s="16" t="s">
        <v>116</v>
      </c>
      <c r="E29" s="11"/>
      <c r="F29" s="12">
        <v>0</v>
      </c>
      <c r="G29" s="20">
        <v>46049</v>
      </c>
    </row>
    <row r="30" spans="1:7" x14ac:dyDescent="0.25">
      <c r="A30" s="40" t="s">
        <v>27</v>
      </c>
      <c r="B30" s="18" t="s">
        <v>507</v>
      </c>
      <c r="C30" s="9" t="s">
        <v>120</v>
      </c>
      <c r="D30" s="16" t="s">
        <v>121</v>
      </c>
      <c r="E30" s="11"/>
      <c r="F30" s="12" t="s">
        <v>34</v>
      </c>
      <c r="G30" s="19" t="s">
        <v>34</v>
      </c>
    </row>
    <row r="31" spans="1:7" x14ac:dyDescent="0.25">
      <c r="A31" s="40" t="s">
        <v>27</v>
      </c>
      <c r="B31" s="18" t="s">
        <v>507</v>
      </c>
      <c r="C31" s="9" t="s">
        <v>123</v>
      </c>
      <c r="D31" s="16" t="s">
        <v>124</v>
      </c>
      <c r="E31" s="11"/>
      <c r="F31" s="12" t="s">
        <v>34</v>
      </c>
      <c r="G31" s="19" t="s">
        <v>34</v>
      </c>
    </row>
    <row r="32" spans="1:7" x14ac:dyDescent="0.25">
      <c r="A32" s="40" t="s">
        <v>27</v>
      </c>
      <c r="B32" s="18" t="s">
        <v>507</v>
      </c>
      <c r="C32" s="14" t="s">
        <v>462</v>
      </c>
      <c r="D32" s="16" t="s">
        <v>493</v>
      </c>
      <c r="E32" s="11"/>
      <c r="F32" s="12">
        <v>2464</v>
      </c>
      <c r="G32" s="20">
        <v>46049</v>
      </c>
    </row>
    <row r="33" spans="1:7" x14ac:dyDescent="0.25">
      <c r="A33" s="40" t="s">
        <v>27</v>
      </c>
      <c r="B33" s="18" t="s">
        <v>508</v>
      </c>
      <c r="C33" s="9" t="s">
        <v>36</v>
      </c>
      <c r="D33" s="16" t="s">
        <v>37</v>
      </c>
      <c r="E33" s="11"/>
      <c r="F33" s="12">
        <v>2519</v>
      </c>
      <c r="G33" s="20">
        <v>46049</v>
      </c>
    </row>
    <row r="34" spans="1:7" x14ac:dyDescent="0.25">
      <c r="A34" s="41" t="s">
        <v>27</v>
      </c>
      <c r="B34" s="18" t="s">
        <v>508</v>
      </c>
      <c r="C34" s="9" t="s">
        <v>41</v>
      </c>
      <c r="D34" s="16" t="s">
        <v>42</v>
      </c>
      <c r="E34" s="11"/>
      <c r="F34" s="12" t="s">
        <v>34</v>
      </c>
      <c r="G34" s="19" t="s">
        <v>34</v>
      </c>
    </row>
    <row r="35" spans="1:7" x14ac:dyDescent="0.25">
      <c r="A35" s="40" t="s">
        <v>27</v>
      </c>
      <c r="B35" s="18" t="s">
        <v>508</v>
      </c>
      <c r="C35" s="9" t="s">
        <v>61</v>
      </c>
      <c r="D35" s="16" t="s">
        <v>62</v>
      </c>
      <c r="E35" s="11"/>
      <c r="F35" s="12" t="s">
        <v>34</v>
      </c>
      <c r="G35" s="19" t="s">
        <v>34</v>
      </c>
    </row>
    <row r="36" spans="1:7" x14ac:dyDescent="0.25">
      <c r="A36" s="40" t="s">
        <v>27</v>
      </c>
      <c r="B36" s="18" t="s">
        <v>508</v>
      </c>
      <c r="C36" s="9" t="s">
        <v>76</v>
      </c>
      <c r="D36" s="16" t="s">
        <v>77</v>
      </c>
      <c r="E36" s="11"/>
      <c r="F36" s="12" t="s">
        <v>34</v>
      </c>
      <c r="G36" s="19" t="s">
        <v>34</v>
      </c>
    </row>
    <row r="37" spans="1:7" x14ac:dyDescent="0.25">
      <c r="A37" s="40" t="s">
        <v>27</v>
      </c>
      <c r="B37" s="18" t="s">
        <v>508</v>
      </c>
      <c r="C37" s="9" t="s">
        <v>79</v>
      </c>
      <c r="D37" s="16" t="s">
        <v>80</v>
      </c>
      <c r="E37" s="11"/>
      <c r="F37" s="12">
        <v>2519</v>
      </c>
      <c r="G37" s="20">
        <v>46049</v>
      </c>
    </row>
    <row r="38" spans="1:7" x14ac:dyDescent="0.25">
      <c r="A38" s="40" t="s">
        <v>27</v>
      </c>
      <c r="B38" s="18" t="s">
        <v>508</v>
      </c>
      <c r="C38" s="9" t="s">
        <v>85</v>
      </c>
      <c r="D38" s="16" t="s">
        <v>80</v>
      </c>
      <c r="E38" s="11"/>
      <c r="F38" s="12">
        <v>2519</v>
      </c>
      <c r="G38" s="20">
        <v>46049</v>
      </c>
    </row>
    <row r="39" spans="1:7" x14ac:dyDescent="0.25">
      <c r="A39" s="40" t="s">
        <v>27</v>
      </c>
      <c r="B39" s="18" t="s">
        <v>508</v>
      </c>
      <c r="C39" s="9" t="s">
        <v>87</v>
      </c>
      <c r="D39" s="16" t="s">
        <v>80</v>
      </c>
      <c r="E39" s="11"/>
      <c r="F39" s="12">
        <v>2519</v>
      </c>
      <c r="G39" s="20">
        <v>46049</v>
      </c>
    </row>
    <row r="40" spans="1:7" x14ac:dyDescent="0.25">
      <c r="A40" s="40" t="s">
        <v>27</v>
      </c>
      <c r="B40" s="18" t="s">
        <v>509</v>
      </c>
      <c r="C40" s="9" t="s">
        <v>463</v>
      </c>
      <c r="D40" s="16" t="s">
        <v>494</v>
      </c>
      <c r="E40" s="11"/>
      <c r="F40" s="12">
        <v>4129.3999999999996</v>
      </c>
      <c r="G40" s="20">
        <v>46049</v>
      </c>
    </row>
    <row r="41" spans="1:7" ht="15.75" thickBot="1" x14ac:dyDescent="0.3">
      <c r="A41" s="42" t="s">
        <v>27</v>
      </c>
      <c r="B41" s="21" t="s">
        <v>509</v>
      </c>
      <c r="C41" s="15" t="s">
        <v>64</v>
      </c>
      <c r="D41" s="22" t="s">
        <v>65</v>
      </c>
      <c r="E41" s="23"/>
      <c r="F41" s="35">
        <v>2509.1</v>
      </c>
      <c r="G41" s="24">
        <v>46049</v>
      </c>
    </row>
  </sheetData>
  <autoFilter ref="A1:G41" xr:uid="{A2860A48-9809-4C64-826F-E66A1BE2830E}">
    <sortState xmlns:xlrd2="http://schemas.microsoft.com/office/spreadsheetml/2017/richdata2" ref="A2:G41">
      <sortCondition ref="B2:B41"/>
    </sortState>
  </autoFilter>
  <conditionalFormatting sqref="C1:C41">
    <cfRule type="duplicateValues" dxfId="1" priority="8"/>
  </conditionalFormatting>
  <conditionalFormatting sqref="E2:E41">
    <cfRule type="expression" dxfId="0" priority="2">
      <formula>AND($K2-TODAY()&lt;=7, $K2-TODAY()&gt;=0)</formula>
    </cfRule>
  </conditionalFormatting>
  <dataValidations count="1">
    <dataValidation type="list" allowBlank="1" showErrorMessage="1" sqref="E2:E41" xr:uid="{23D0869D-CA4F-4E98-933B-127136FCFA4A}">
      <formula1>"Paid,Unpaid,Due,Paid by Owner,For Turnover,N/A"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BILLS</vt:lpstr>
      <vt:lpstr>Sheet2</vt:lpstr>
      <vt:lpstr>Sheet1</vt:lpstr>
      <vt:lpstr>BILLS!Print_Area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HuboMoto</cp:lastModifiedBy>
  <cp:lastPrinted>2026-01-29T07:17:55Z</cp:lastPrinted>
  <dcterms:created xsi:type="dcterms:W3CDTF">2025-06-11T03:02:39Z</dcterms:created>
  <dcterms:modified xsi:type="dcterms:W3CDTF">2026-02-26T08:25:36Z</dcterms:modified>
</cp:coreProperties>
</file>